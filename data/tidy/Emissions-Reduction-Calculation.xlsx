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peiyaozhao\NARS Dropbox\Projects\CT-GHG-Inventories\Emissions-Reduction\"/>
    </mc:Choice>
  </mc:AlternateContent>
  <xr:revisionPtr revIDLastSave="0" documentId="13_ncr:1_{53CFC9E9-E36B-49CE-BFF7-4EF9925F0449}" xr6:coauthVersionLast="47" xr6:coauthVersionMax="47" xr10:uidLastSave="{00000000-0000-0000-0000-000000000000}"/>
  <bookViews>
    <workbookView xWindow="4760" yWindow="-15570" windowWidth="20690" windowHeight="11840" activeTab="1" xr2:uid="{00000000-000D-0000-FFFF-FFFF00000000}"/>
  </bookViews>
  <sheets>
    <sheet name="Summary" sheetId="2" r:id="rId1"/>
    <sheet name="Recalculation" sheetId="6" r:id="rId2"/>
    <sheet name="Calculation" sheetId="3" r:id="rId3"/>
    <sheet name="transposed" sheetId="5" r:id="rId4"/>
    <sheet name="Policy Description" sheetId="4" r:id="rId5"/>
  </sheets>
  <calcPr calcId="191028"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11" i="6" l="1"/>
  <c r="E13" i="6"/>
  <c r="E12" i="6"/>
  <c r="E11" i="6"/>
  <c r="E2" i="6"/>
  <c r="E41" i="6"/>
  <c r="F41" i="6"/>
  <c r="G41" i="6"/>
  <c r="E39" i="6"/>
  <c r="F39" i="6"/>
  <c r="E40" i="6"/>
  <c r="F40" i="6"/>
  <c r="G39" i="6"/>
  <c r="E38" i="6"/>
  <c r="F38" i="6"/>
  <c r="G38" i="6"/>
  <c r="E35" i="6"/>
  <c r="E36" i="6"/>
  <c r="E37" i="6"/>
  <c r="F35" i="6"/>
  <c r="G35" i="6"/>
  <c r="E29" i="6"/>
  <c r="E30" i="6"/>
  <c r="E31" i="6"/>
  <c r="F29" i="6"/>
  <c r="E32" i="6"/>
  <c r="E33" i="6"/>
  <c r="E34" i="6"/>
  <c r="F32" i="6"/>
  <c r="G29" i="6"/>
  <c r="E27" i="6"/>
  <c r="F27" i="6"/>
  <c r="E28" i="6"/>
  <c r="F28" i="6"/>
  <c r="G27" i="6"/>
  <c r="E22" i="6"/>
  <c r="E23" i="6"/>
  <c r="E24" i="6"/>
  <c r="F22" i="6"/>
  <c r="E25" i="6"/>
  <c r="F25" i="6"/>
  <c r="E26" i="6"/>
  <c r="F26" i="6"/>
  <c r="G22" i="6"/>
  <c r="E19" i="6"/>
  <c r="E20" i="6"/>
  <c r="E21" i="6"/>
  <c r="F19" i="6"/>
  <c r="G19" i="6"/>
  <c r="E14" i="6"/>
  <c r="E15" i="6"/>
  <c r="E16" i="6"/>
  <c r="E17" i="6"/>
  <c r="E18" i="6"/>
  <c r="F14" i="6"/>
  <c r="G14" i="6"/>
  <c r="E5" i="6"/>
  <c r="E6" i="6"/>
  <c r="E7" i="6"/>
  <c r="F5" i="6"/>
  <c r="E8" i="6"/>
  <c r="E9" i="6"/>
  <c r="E10" i="6"/>
  <c r="F8" i="6"/>
  <c r="G5" i="6"/>
  <c r="E3" i="6"/>
  <c r="E4" i="6"/>
  <c r="F2" i="6"/>
  <c r="G2" i="6"/>
  <c r="BB2" i="3"/>
  <c r="AZ6" i="3"/>
  <c r="BB3" i="3"/>
  <c r="BB4" i="3"/>
  <c r="BB5" i="3"/>
  <c r="BB6" i="3"/>
  <c r="BB7" i="3"/>
  <c r="BB8" i="3"/>
  <c r="BB9" i="3"/>
  <c r="BB10" i="3"/>
  <c r="BB11" i="3"/>
  <c r="BB12" i="3"/>
  <c r="BB13" i="3"/>
  <c r="BB14" i="3"/>
  <c r="BB15" i="3"/>
  <c r="BB16" i="3"/>
  <c r="BB17" i="3"/>
  <c r="BB18" i="3"/>
  <c r="BB19" i="3"/>
  <c r="BB20" i="3"/>
  <c r="BB21" i="3"/>
  <c r="BB22" i="3"/>
  <c r="BB23" i="3"/>
  <c r="BB24" i="3"/>
  <c r="BB25" i="3"/>
  <c r="BB26" i="3"/>
  <c r="BB27" i="3"/>
  <c r="BB28" i="3"/>
  <c r="BB29" i="3"/>
  <c r="BB30" i="3"/>
  <c r="BB31" i="3"/>
  <c r="BB32" i="3"/>
  <c r="BB33" i="3"/>
  <c r="BB34" i="3"/>
  <c r="BB35" i="3"/>
  <c r="BB36" i="3"/>
  <c r="BB37" i="3"/>
  <c r="BA6" i="3"/>
  <c r="BA7" i="3"/>
  <c r="BA8" i="3"/>
  <c r="BA9" i="3"/>
  <c r="BA10" i="3"/>
  <c r="BA11" i="3"/>
  <c r="BA12" i="3"/>
  <c r="BA13" i="3"/>
  <c r="BA14" i="3"/>
  <c r="BA15" i="3"/>
  <c r="BA16" i="3"/>
  <c r="BA17" i="3"/>
  <c r="BA18" i="3"/>
  <c r="BA19" i="3"/>
  <c r="BA20" i="3"/>
  <c r="BA21" i="3"/>
  <c r="BA22" i="3"/>
  <c r="BA23" i="3"/>
  <c r="BA24" i="3"/>
  <c r="BA25" i="3"/>
  <c r="BA26" i="3"/>
  <c r="BA27" i="3"/>
  <c r="BA28" i="3"/>
  <c r="BA29" i="3"/>
  <c r="BA30" i="3"/>
  <c r="BA31" i="3"/>
  <c r="BA32" i="3"/>
  <c r="BA33" i="3"/>
  <c r="BA34" i="3"/>
  <c r="BA35" i="3"/>
  <c r="BA36" i="3"/>
  <c r="BA37" i="3"/>
  <c r="AZ37" i="3"/>
  <c r="AZ36" i="3"/>
  <c r="AZ35" i="3"/>
  <c r="AZ34" i="3"/>
  <c r="AZ33" i="3"/>
  <c r="AZ32" i="3"/>
  <c r="AZ31" i="3"/>
  <c r="AZ30" i="3"/>
  <c r="AZ29" i="3"/>
  <c r="AZ28" i="3"/>
  <c r="AZ27" i="3"/>
  <c r="AZ26" i="3"/>
  <c r="AZ25" i="3"/>
  <c r="AZ24" i="3"/>
  <c r="AZ23" i="3"/>
  <c r="AZ22" i="3"/>
  <c r="AZ21" i="3"/>
  <c r="AZ20" i="3"/>
  <c r="AZ19" i="3"/>
  <c r="AZ18" i="3"/>
  <c r="AZ17" i="3"/>
  <c r="AZ16" i="3"/>
  <c r="AZ15" i="3"/>
  <c r="AZ14" i="3"/>
  <c r="AZ13" i="3"/>
  <c r="AZ12" i="3"/>
  <c r="AZ11" i="3"/>
  <c r="AZ10" i="3"/>
  <c r="AZ9" i="3"/>
  <c r="AZ8" i="3"/>
  <c r="AZ7" i="3"/>
  <c r="BA5" i="3"/>
  <c r="AZ5" i="3"/>
  <c r="BA3" i="3"/>
  <c r="BA4" i="3"/>
  <c r="BA2" i="3"/>
  <c r="AZ4" i="3"/>
  <c r="AZ2" i="3"/>
  <c r="AZ3" i="3"/>
  <c r="D22" i="2"/>
</calcChain>
</file>

<file path=xl/sharedStrings.xml><?xml version="1.0" encoding="utf-8"?>
<sst xmlns="http://schemas.openxmlformats.org/spreadsheetml/2006/main" count="674" uniqueCount="349">
  <si>
    <t>Sector</t>
  </si>
  <si>
    <t>Subsector</t>
  </si>
  <si>
    <t>Year</t>
  </si>
  <si>
    <t>Total Emissions (MMTCO2e)</t>
  </si>
  <si>
    <t>CO2 Emissions (MMTCO2e)</t>
  </si>
  <si>
    <t>CH4 Emissions (MMTCO2e)</t>
  </si>
  <si>
    <t>N2O Emissions (MMTCO2e)</t>
  </si>
  <si>
    <t>VMT (billion miles)</t>
  </si>
  <si>
    <t>Total emissions factors in eGrid (Ib/MWh)</t>
  </si>
  <si>
    <t>Mobile Combustion</t>
  </si>
  <si>
    <t>Automobile</t>
  </si>
  <si>
    <t>Motorcycle</t>
  </si>
  <si>
    <t>Trucks</t>
  </si>
  <si>
    <t>Buses</t>
  </si>
  <si>
    <t>Electricity Consumption</t>
  </si>
  <si>
    <t>Residential Electricity</t>
  </si>
  <si>
    <t>Commercial&amp;Industrial Electricity</t>
  </si>
  <si>
    <t>Solid Waste Landfills</t>
  </si>
  <si>
    <t>Landfill fuel combustion</t>
  </si>
  <si>
    <t>Landfill methane</t>
  </si>
  <si>
    <t>Stationary Combustion</t>
  </si>
  <si>
    <t>Residential fuel oil</t>
  </si>
  <si>
    <t>Residential natural gas</t>
  </si>
  <si>
    <t>Residential propane</t>
  </si>
  <si>
    <t>Commercial fuel</t>
  </si>
  <si>
    <t>Industrial fuel</t>
  </si>
  <si>
    <t>Agriculture &amp; Land management</t>
  </si>
  <si>
    <t>Organic fertilizer</t>
  </si>
  <si>
    <t>Synthetic fertilizer</t>
  </si>
  <si>
    <t>Manure fertilizer</t>
  </si>
  <si>
    <t>Wastewater treatment</t>
  </si>
  <si>
    <t>Wastewater</t>
  </si>
  <si>
    <t>Forestry</t>
  </si>
  <si>
    <t>Deciduous forest</t>
  </si>
  <si>
    <t>Coniferous forest</t>
  </si>
  <si>
    <t>Forested wetland</t>
  </si>
  <si>
    <t>`</t>
  </si>
  <si>
    <t>Scenario</t>
  </si>
  <si>
    <t>Assumptions</t>
  </si>
  <si>
    <t>T.1</t>
  </si>
  <si>
    <t>T.2</t>
  </si>
  <si>
    <t>T.3</t>
  </si>
  <si>
    <t>T.4</t>
  </si>
  <si>
    <t>T.5</t>
  </si>
  <si>
    <t>T.6</t>
  </si>
  <si>
    <t>T.7</t>
  </si>
  <si>
    <t>T.8</t>
  </si>
  <si>
    <t>T.9</t>
  </si>
  <si>
    <t>T.10</t>
  </si>
  <si>
    <t>T.11</t>
  </si>
  <si>
    <t>T.12</t>
  </si>
  <si>
    <t>T.13</t>
  </si>
  <si>
    <t>E.1</t>
  </si>
  <si>
    <t>E.2</t>
  </si>
  <si>
    <t>E.3</t>
  </si>
  <si>
    <t>E.4</t>
  </si>
  <si>
    <t>E.5</t>
  </si>
  <si>
    <t>E.6</t>
  </si>
  <si>
    <t>E.7</t>
  </si>
  <si>
    <t>E.8</t>
  </si>
  <si>
    <t>E.9</t>
  </si>
  <si>
    <t>E.10</t>
  </si>
  <si>
    <t>E.11</t>
  </si>
  <si>
    <t>B.1</t>
  </si>
  <si>
    <t>B.2</t>
  </si>
  <si>
    <t>B.3</t>
  </si>
  <si>
    <t>B.4</t>
  </si>
  <si>
    <t>B.5</t>
  </si>
  <si>
    <t>B.6</t>
  </si>
  <si>
    <t>B.7</t>
  </si>
  <si>
    <t>B.8</t>
  </si>
  <si>
    <t>B.9</t>
  </si>
  <si>
    <t>B.10</t>
  </si>
  <si>
    <t>B.11</t>
  </si>
  <si>
    <t>B.12</t>
  </si>
  <si>
    <t>B.13</t>
  </si>
  <si>
    <t>I.1</t>
  </si>
  <si>
    <t>I.2</t>
  </si>
  <si>
    <t>I.3</t>
  </si>
  <si>
    <t>L.1</t>
  </si>
  <si>
    <t>L.2</t>
  </si>
  <si>
    <t>L.3</t>
  </si>
  <si>
    <t>L.4</t>
  </si>
  <si>
    <t>W.1</t>
  </si>
  <si>
    <t>W.2</t>
  </si>
  <si>
    <t>W.3</t>
  </si>
  <si>
    <t>W.4</t>
  </si>
  <si>
    <t>W.5</t>
  </si>
  <si>
    <t>GHG Reduction (MMTCO2e)</t>
  </si>
  <si>
    <t>GHG Reduction (TMTCO2e)</t>
  </si>
  <si>
    <t>Percentage of reduction %</t>
  </si>
  <si>
    <t>Activity 1</t>
  </si>
  <si>
    <t>% of reduction</t>
  </si>
  <si>
    <t>Activity 2</t>
  </si>
  <si>
    <t>Activity 3</t>
  </si>
  <si>
    <t>% of increase</t>
  </si>
  <si>
    <t>Activity 4</t>
  </si>
  <si>
    <t>Calculation Method</t>
  </si>
  <si>
    <t>T.a</t>
  </si>
  <si>
    <t xml:space="preserve">10% of total buses in New Haven are school buses, all the school buses are switched to EVs </t>
  </si>
  <si>
    <t>X</t>
  </si>
  <si>
    <t>VMT (buses)</t>
  </si>
  <si>
    <t>10 in electricity generation emissions</t>
  </si>
  <si>
    <t>0.1*TEmi_buses-1000000000*0.1*VMT_buses/(3000*2204.62*1000000)</t>
  </si>
  <si>
    <t>T.b</t>
  </si>
  <si>
    <t>5% trucks are in municipal fleet and adopting the hydrogen as the fuel sources; all hydrogen powered car are fuel cell electric cars, zero tailpipe emissions</t>
  </si>
  <si>
    <t>VMT ( truck)</t>
  </si>
  <si>
    <t>0.05*Temi_trucks</t>
  </si>
  <si>
    <t>T.c</t>
  </si>
  <si>
    <t>Idling reduces the MPG by 10 percent for any types of vehicles (most influence the carbon dioxide emissions) ; 5% percent of the passenger cars, and 5% of the trucks and all buses are from municipal fleet</t>
  </si>
  <si>
    <t>MPG(automobiles, trucks)</t>
  </si>
  <si>
    <t>MPG(buses)</t>
  </si>
  <si>
    <t>(0.05*(CEmi_automobile+CEmi_trucks)+CEmi_buses)*0.1</t>
  </si>
  <si>
    <t>T.d</t>
  </si>
  <si>
    <t>10% increase in bus mileage and 5% decrease in passenger car mileage</t>
  </si>
  <si>
    <t>VMT (automobile)</t>
  </si>
  <si>
    <t>0.05*TEmi_automobile-0.1*TEmi_buses</t>
  </si>
  <si>
    <t>T.e</t>
  </si>
  <si>
    <t>5% increase in bus mileage and 10% decrease in passenger car mileage</t>
  </si>
  <si>
    <t>0.1*TEmi_automobile-0.05*TEmi_buses</t>
  </si>
  <si>
    <t>T.f</t>
  </si>
  <si>
    <t>5% increase in bus mileage and 5% decrease in passenger car mileage</t>
  </si>
  <si>
    <t>0.05*(TEmi_automobile-TEmi_buses)</t>
  </si>
  <si>
    <t>T.g</t>
  </si>
  <si>
    <t>10% increase in bus mileage and 10% decrease in passenger car mileage</t>
  </si>
  <si>
    <t>0.1*(TEmi_automobile-TEmi_buses)</t>
  </si>
  <si>
    <t>T.h</t>
  </si>
  <si>
    <t>20% increase in bus mileage and 10% decrease in passenger car mileage</t>
  </si>
  <si>
    <t>0.1*TEmi_automobile-0.2*TEmi_buses</t>
  </si>
  <si>
    <t>T.i</t>
  </si>
  <si>
    <t>20% passenger cars are replaced by electric vehicles</t>
  </si>
  <si>
    <t>20 in electricity generation emissions</t>
  </si>
  <si>
    <t>0.2*TEmi_automobile-1000000000*(0.2*VMT_automobile)/(3000*2204.62*1000000)</t>
  </si>
  <si>
    <t>T.j</t>
  </si>
  <si>
    <t>40% trucks are replaced by electric vehicles</t>
  </si>
  <si>
    <t>VMT (trucks)</t>
  </si>
  <si>
    <t>40 in electricity generation emissions</t>
  </si>
  <si>
    <t>0.4*TEmi_truck-1000000000*(0.4*VMT_truck)/(3000*2204.62*1000000)</t>
  </si>
  <si>
    <t>T.k</t>
  </si>
  <si>
    <t>5% reduction in the total vehicle emissions due to remote working schedule</t>
  </si>
  <si>
    <t>VMT (automobile, truck, motorcycle, buses)</t>
  </si>
  <si>
    <t>0.05*(TEmi_automobile+TEmi_truck+TEmi_buses+TEmi_motorcycle)</t>
  </si>
  <si>
    <t>T.l</t>
  </si>
  <si>
    <t>40% passenger cars are replaced by electric vehicles</t>
  </si>
  <si>
    <t>0.4*TEmi_automobile-1000000000*(0.4*VMT_automobile)/(3000*2204.62*1000000)</t>
  </si>
  <si>
    <t>T.m</t>
  </si>
  <si>
    <t>10% reduction in the total vehicle emissions due to the adoption of renewable energy sources</t>
  </si>
  <si>
    <t>0.1*(TEmi_automobile+TEmi_truck+TEmi_buses+TEmi_motorcycle)</t>
  </si>
  <si>
    <t>E.a</t>
  </si>
  <si>
    <t>10% reduction in the regional emissions factors</t>
  </si>
  <si>
    <t>Emissions factors (residential, industrial/ commercial)</t>
  </si>
  <si>
    <t>0.1*(EEmi_residential+EEmi_industrial/commercial)</t>
  </si>
  <si>
    <t>E.b</t>
  </si>
  <si>
    <t>15% reduction in the regional emissions factors</t>
  </si>
  <si>
    <t>0.15*(EEmi_residential+EEmi_industrial/commercial)</t>
  </si>
  <si>
    <t>E.c</t>
  </si>
  <si>
    <t>20% reduction in the regional emissions factors</t>
  </si>
  <si>
    <t>0.2*(EEmi_residential+EEmi_industrial/commercial)</t>
  </si>
  <si>
    <t>E.d</t>
  </si>
  <si>
    <t>30% reduction in the regional emissions factors</t>
  </si>
  <si>
    <t>0.3*(EEmi_residential+EEmi_industrial/commercial)</t>
  </si>
  <si>
    <t>E.e</t>
  </si>
  <si>
    <t>40% reduction in wastewater emissions</t>
  </si>
  <si>
    <t>Wastewater emissions</t>
  </si>
  <si>
    <t>0.4*Temi_wastewater</t>
  </si>
  <si>
    <t>E.f</t>
  </si>
  <si>
    <t>10% reduction in the industrial electricity emissions</t>
  </si>
  <si>
    <t>Electricity consumption (industrial/ commercial)</t>
  </si>
  <si>
    <t>0.1*EEmi_industrial/commercial</t>
  </si>
  <si>
    <t>E.g</t>
  </si>
  <si>
    <t xml:space="preserve"> 30% reduction in the industrial electricity emissions</t>
  </si>
  <si>
    <t>0.3*EEmi_industrial/commercial</t>
  </si>
  <si>
    <t>B.a</t>
  </si>
  <si>
    <t xml:space="preserve">consumption of all fossil fuel in residential building reduces by 10% </t>
  </si>
  <si>
    <t>Residential (fuel oil, natural gas, propane consumption)</t>
  </si>
  <si>
    <t>0.1*(TEmi_stationary_oil+TEmi_stationary_natural_gas+TEmi_stationary_propane)</t>
  </si>
  <si>
    <t>B.b</t>
  </si>
  <si>
    <t xml:space="preserve">consumption of all fossil fuel in residential building reduces by 20% </t>
  </si>
  <si>
    <t>0.2*(TEmi_stationary_oil+TEmi_stationary_natural_gas+TEmi_stationary_propane)</t>
  </si>
  <si>
    <t>B.c</t>
  </si>
  <si>
    <t>residential and commercial emissions reduced by 20%</t>
  </si>
  <si>
    <t>residential and commercial emissions</t>
  </si>
  <si>
    <t>0.2*(Temi_residential+Temi_commercial)</t>
  </si>
  <si>
    <t>B.d</t>
  </si>
  <si>
    <t xml:space="preserve">consumption of all fossil fuel in residential building reduces by 30% </t>
  </si>
  <si>
    <t>0.3*(TEmi_stationary_oil+TEmi_stationary_natural_gas+TEmi_stationary_propane)</t>
  </si>
  <si>
    <t>B.e</t>
  </si>
  <si>
    <t xml:space="preserve">consumption of all fossil fuel in residential building reduces by 40% </t>
  </si>
  <si>
    <t>0.4*(TEmi_stationary_oil+TEmi_stationary_natural_gas+TEmi_stationary_propane)</t>
  </si>
  <si>
    <t>B.f</t>
  </si>
  <si>
    <t xml:space="preserve">consumption of all fossil fuel in residential building reduces by 50% </t>
  </si>
  <si>
    <t>0.5*(TEmi_stationary_oil+TEmi_stationary_natural_gas+TEmi_stationary_propane)</t>
  </si>
  <si>
    <t>B.g</t>
  </si>
  <si>
    <t xml:space="preserve">commerical buidling emissions reduce by 10% </t>
  </si>
  <si>
    <t>commercial building emissions</t>
  </si>
  <si>
    <t>0.1*Temi_commercial_building</t>
  </si>
  <si>
    <t>B.h</t>
  </si>
  <si>
    <t xml:space="preserve">commerical buidling emissions reduce by 20% </t>
  </si>
  <si>
    <t>0.2*Temi_commercial_building</t>
  </si>
  <si>
    <t>B.i</t>
  </si>
  <si>
    <t xml:space="preserve">commerical buidling emissions reduce by 30% </t>
  </si>
  <si>
    <t>0.3*Temi_commercial_building</t>
  </si>
  <si>
    <t>B.j</t>
  </si>
  <si>
    <t>50% reduction in the regional electricity emissions factors</t>
  </si>
  <si>
    <t>0.5*(EEmi_residential+EEmi_industrial/commercial)</t>
  </si>
  <si>
    <t>I.a</t>
  </si>
  <si>
    <t>10% reduction in healthcare emissions.</t>
  </si>
  <si>
    <t>Industrial (healthcare)</t>
  </si>
  <si>
    <t>0.1*TEmi_stationary_industrial</t>
  </si>
  <si>
    <t>I.b</t>
  </si>
  <si>
    <t>20% reduction in healthcare emissions.</t>
  </si>
  <si>
    <t>0.2*TEmi_stationary_industrial</t>
  </si>
  <si>
    <t>I.c</t>
  </si>
  <si>
    <t>30% reduction in healthcare emissions.</t>
  </si>
  <si>
    <t>0.3*TEmi_stationary_industrial</t>
  </si>
  <si>
    <t>L.a</t>
  </si>
  <si>
    <t>20% increase in forest land area</t>
  </si>
  <si>
    <t>Forest land area</t>
  </si>
  <si>
    <t>0.2*(Seq_forest)</t>
  </si>
  <si>
    <t>L.b</t>
  </si>
  <si>
    <t>10% increase in forest land area</t>
  </si>
  <si>
    <t>0.1*(Seq_forest)</t>
  </si>
  <si>
    <t>L.c</t>
  </si>
  <si>
    <t>20% reduction in agricultural emissions</t>
  </si>
  <si>
    <t>agricultural emissions</t>
  </si>
  <si>
    <t>0.2*TEmi_agricultural</t>
  </si>
  <si>
    <t xml:space="preserve">Labels: </t>
  </si>
  <si>
    <t xml:space="preserve">TEmi: total greenhouse gas emissions </t>
  </si>
  <si>
    <t>CEmi: carbon dioxide emissions</t>
  </si>
  <si>
    <t>EEmi: emissions from electricity consumption</t>
  </si>
  <si>
    <t>Goal</t>
  </si>
  <si>
    <t>Policy</t>
  </si>
  <si>
    <t>Mobility and transportation</t>
  </si>
  <si>
    <t>A Clean and Green Municipal Fleet</t>
  </si>
  <si>
    <t>T.1 Accelerate and/or begin adopting EV’s into the municipal fleet, including public school buses.</t>
  </si>
  <si>
    <t>T.2 Begin adopting alter_x0002_nate fuel sources such as hydrogen for medium to heavy-duty vehicles where EV transition is not possible.</t>
  </si>
  <si>
    <t>T.3 Reduce idling in mu_x0002_nicipal fleet; work with civil engineers to adjust traffic signals and pat_x0002_terns to reduce idle time.</t>
  </si>
  <si>
    <t>Create a transit first approach and reduce spatial misalignment</t>
  </si>
  <si>
    <t>T.4 Offer discounted transit fare for LIDACs</t>
  </si>
  <si>
    <t>T.5 Create a transit-first approach: a.Pilot pedestrianization, limited traffic (bus only lanes/streets) and use of active transportation 
downtown and dense developments. b. Ensure opportunity areas are completely accessible by transit. c. Advocate for transit plans that 
incentivize new development in areas that will allow for transit, walking, and bike use</t>
  </si>
  <si>
    <t>T.6 Reduce spatial misalign_x0002_ment through changes in land-use: Conduct feasibility stud_x0002_ies for creating economic zones in areas with 
high commute times. Encourage denser housing in areas near existing eco_x0002_nomic zones.</t>
  </si>
  <si>
    <t>T.7 Partner with micro-mobility companies to enable cross-town trips for smaller towns nearby.</t>
  </si>
  <si>
    <t>T.8 Create more park-and-ride options, and increase transit access and frequency in areas with high car owner_x0002_ship and high commute times to work to enable multi-modal trips.</t>
  </si>
  <si>
    <t>Reduce emissions from private vehicles</t>
  </si>
  <si>
    <t>T.9 Increase the overall Electric Vehicle adoption and create infrastructure to support this: • Communicate the benefits of CHEAPR to low and middle-income communities, and have limited time offers of higher Rebate+ to encourage buying of EVs in the short-term</t>
  </si>
  <si>
    <t>T.10 Incentivize EVs for shared-mobility companies (Uber/Lyft); this can even include free public parking for such vehicles</t>
  </si>
  <si>
    <t>T.11 Incentivize trip reduction programs in public offices and partner with private offices for the same: this basically requires an 
increase in work-from-home so that work-commute is reduced.</t>
  </si>
  <si>
    <t>T.12 Improve broadband access (with at least 1GBPS) state-wide</t>
  </si>
  <si>
    <t>T.13 Pursue alternative fuel sources, such as hydrogen, where electrification is not possible</t>
  </si>
  <si>
    <t>Electricity Production and Consumption</t>
  </si>
  <si>
    <t>Reduce electricity consumption from fossil fuel sources in municipal buildings and services</t>
  </si>
  <si>
    <t>E.1 Utilize on site renew_x0002_ables (ie. rooftop solar) to power municipal operations</t>
  </si>
  <si>
    <t>E.2 leverage powers of municipal utilities to pro_x0002_cure renewable power, ex_x0002_pand electricity production capabilities, and/or invest in storage capabilities with_x0002_in the municipality</t>
  </si>
  <si>
    <t>E.3 Increase procurement of renewable energy for municipal services</t>
  </si>
  <si>
    <t>E.4 Pursue microgrid projects that integrate onsite renewables and electricity from the grid to power municipal services</t>
  </si>
  <si>
    <t>E.5 Increase efficiency of wastewater treatment facilities, utilize onsite solar, or biogas to lower emissions at these facilities</t>
  </si>
  <si>
    <t>Increase renewable energy production and consumption 
at the local scale</t>
  </si>
  <si>
    <t>E.6 Set up outreach programs that communicate state and federal level financing programs that support on site renewable 
generation to consumers.</t>
  </si>
  <si>
    <t>E.7 Evaluate the potential of citing renewable energy projects on vacant, underutilized land/combine with open space planning</t>
  </si>
  <si>
    <t>E.8 Consider adopting clean energy zoning ordinances that would require new and/or existing buildings to meet certain clean energy 
milestones through the use of onsite renewables or clean energy purchasing</t>
  </si>
  <si>
    <t>E.9 Coordinate through housing authorities to build out community solar projects and microgrids for public housing complexe</t>
  </si>
  <si>
    <t>Prepare local economies for renewable energy transition</t>
  </si>
  <si>
    <t>E.10 Prepare economic development plans around offshore wind energy</t>
  </si>
  <si>
    <t>E.11 Partner with local workforce development centers and union chapters to prepare workforce in key renewable energy sectors, 
such as offshore wind en_x0002_ergy and solar installations</t>
  </si>
  <si>
    <t>Energy Efficiency in Buildings</t>
  </si>
  <si>
    <t>Building Energy Benchmarking and Disclosure for existing and new buildings</t>
  </si>
  <si>
    <t>B.1 - Require building own_x0002_ers to annually benchmark and disclose their energy usage and efficiency rat_x0002_ings</t>
  </si>
  <si>
    <t>B.2 - Provide educational resources and support to building owners to help them understand and im_x0002_prove energy performance</t>
  </si>
  <si>
    <t>B.3 - Ensure all municipal operations rely on 100% renewable energy source</t>
  </si>
  <si>
    <t>B.4 - Advocate for strict building codes and achieve net zero energy usage</t>
  </si>
  <si>
    <t>B.5 - Offer incentives and expedited permit_x0002_ting for projects that achieve green building certifications</t>
  </si>
  <si>
    <t>B.6.-Support climate friendly land use: develop robust resources to enable municipalities to implement model climate-friendly land use and zoning practices.</t>
  </si>
  <si>
    <t>Renewable Energy Access for low Income Homes</t>
  </si>
  <si>
    <t>B.7 - Install solar heating on low income housing units o generate clean, renewable energy and reduce electric_x0002_ity costs</t>
  </si>
  <si>
    <t>B.8- Develop community solar heating programs that allow low-income residents to benefit from shared solar installations</t>
  </si>
  <si>
    <t>B.9 - Install energy monitoring and management systems in low-income housing to track and control energy consumption.</t>
  </si>
  <si>
    <t>Energy-efficient Building Materials and Retrofits</t>
  </si>
  <si>
    <t>B.10- Support the adoption of sustainable building materials in low income housing construction and renovation</t>
  </si>
  <si>
    <t>B.11 - Establish a city-wide retrofit program especially for low income and municipal buildings, providing grants and low-interest 
loans to property owners for energy-efficient upgrades</t>
  </si>
  <si>
    <t>B.12 - Monitor and report the energy and cost savings resulting from retrofitting and sustainable materials to demonstrate their 
impact and encourage further investment.</t>
  </si>
  <si>
    <t xml:space="preserve">B.13-Set up outreach programs at the regional or local level that target LMI households for heat pump installations and energy efficiency upgrades. 
-	Highlight the benefits of HEATsmart programs to increase heat pump uptake in LIDAC communities.
-	Partner with social service and community-based agencies for assistance on outreach into LIDAC areas. 
-	Highlight the benefits of other state and federal incentives for heat pump installation and energy efficiency upgrades, such as HES-IE through EnergizeCT.  </t>
  </si>
  <si>
    <t>Industrial</t>
  </si>
  <si>
    <t>Improve Emissions Monitoring, Accounting and Reporting</t>
  </si>
  <si>
    <t>I.1 - Require utility companies, gas sup_x0002_pliers, and health care establishments to report emissions data</t>
  </si>
  <si>
    <t xml:space="preserve">Reduce emissions through low-carbon procurement </t>
  </si>
  <si>
    <t>I.2 Embed a purchasing criterion in public projects that states a preference for suppli_x0002_ers or service providers who have a trans_x0002_parent 
and standardized GHG inventory.</t>
  </si>
  <si>
    <t>Reduce emissions from the health care sector through 
public-private partnership</t>
  </si>
  <si>
    <t xml:space="preserve">I.3 Collaborate with the healthcare sector to offer financial grants or subsidies to healthcare facili_x0002_ties that are committed to adopting low-emission practices in specific medical areas. Partner with major healthcare providers to establish a preferential purchasing system, prioritizing suppliers or service providers who disclose their carbon footprint and have clear decarbonization objectives. </t>
  </si>
  <si>
    <t>Working Lands &amp; Forestry</t>
  </si>
  <si>
    <t xml:space="preserve">Preserve and support existing and potential forested lands </t>
  </si>
  <si>
    <t>L.1 Pursue afforestation reforestation throughout county</t>
  </si>
  <si>
    <t>L.2 Support current efforts and management strategies to maintain existing forests on both private and public property.</t>
  </si>
  <si>
    <t>Increase Urban Tree Canopy (UTC)</t>
  </si>
  <si>
    <t>L.3 Increase urban tree canopy in low-income disadvantaged communities</t>
  </si>
  <si>
    <t xml:space="preserve">Support farming initiatives across urban, suburban, and rural typologies. </t>
  </si>
  <si>
    <t>L.4.-Work with agricultural stakeholders including rural and urban farmers to design programs that reduce emissions, with a focus on co-benefits like food security, waste reduction, and sustainability.</t>
  </si>
  <si>
    <t>Waste Management</t>
  </si>
  <si>
    <t>Divert waste with local and regional programs</t>
  </si>
  <si>
    <t>W.1 Establish a county-wide unit-based pricing program with food-scrap collection and public education</t>
  </si>
  <si>
    <t>W.2 Establish a regional waste management authority in New Haven County; implement waste diversion infrastructure and programs.</t>
  </si>
  <si>
    <t>W.3 Expand and continue community-based food waste reduction programs, such as CET’s assistance for food waste reduction in 
businesses, schools, and institutions.</t>
  </si>
  <si>
    <t>Enact and expand statewide waste reduction laws</t>
  </si>
  <si>
    <t>W.4 Advocate for the expansion of Connecticut’s Commercial Organics Law to include a wider array of organizations and more 
geographic locations.</t>
  </si>
  <si>
    <t>W.5 Establish a regional waste management authority in New Haven County; implement waste diversion infrastructure and programs.</t>
  </si>
  <si>
    <t>M1</t>
  </si>
  <si>
    <t>M2</t>
  </si>
  <si>
    <t>M3</t>
  </si>
  <si>
    <t>E1</t>
  </si>
  <si>
    <t>E2</t>
  </si>
  <si>
    <t>E3</t>
  </si>
  <si>
    <t>W1</t>
  </si>
  <si>
    <t>A1</t>
  </si>
  <si>
    <t>S1</t>
  </si>
  <si>
    <t>S2</t>
  </si>
  <si>
    <t>S3</t>
  </si>
  <si>
    <t>S5</t>
  </si>
  <si>
    <t>S6</t>
  </si>
  <si>
    <t>S7</t>
  </si>
  <si>
    <t>S8</t>
  </si>
  <si>
    <t>S9</t>
  </si>
  <si>
    <t>S10</t>
  </si>
  <si>
    <t>S11</t>
  </si>
  <si>
    <t>S12</t>
  </si>
  <si>
    <t>S13</t>
  </si>
  <si>
    <t>U1</t>
  </si>
  <si>
    <t>U2</t>
  </si>
  <si>
    <t>U3</t>
  </si>
  <si>
    <t>U4</t>
  </si>
  <si>
    <t>U5</t>
  </si>
  <si>
    <t>U6</t>
  </si>
  <si>
    <t>U7</t>
  </si>
  <si>
    <t>U8</t>
  </si>
  <si>
    <t>U9</t>
  </si>
  <si>
    <t>U10</t>
  </si>
  <si>
    <t>U11</t>
  </si>
  <si>
    <t>U12</t>
  </si>
  <si>
    <t>U13</t>
  </si>
  <si>
    <t>F1</t>
  </si>
  <si>
    <t>U14</t>
  </si>
  <si>
    <t>U15</t>
  </si>
  <si>
    <t>Strategy</t>
  </si>
  <si>
    <t>Uncertainty</t>
  </si>
  <si>
    <t>Change in
uncertainty</t>
  </si>
  <si>
    <t>GHG Reduction 
(MMTCO2e)</t>
  </si>
  <si>
    <t>add electrifity part</t>
  </si>
  <si>
    <t>change mpg to negative</t>
  </si>
  <si>
    <t>Reduction for each scenario</t>
  </si>
  <si>
    <t>Reduction for each strategies</t>
  </si>
  <si>
    <t>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</si>
</sst>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5"/>
      <color rgb="FF040C2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3" fontId="0" fillId="0" borderId="0" xfId="0" applyNumberFormat="1"/>
    <xf numFmtId="11" fontId="0" fillId="0" borderId="0" xfId="0" applyNumberFormat="1"/>
    <xf numFmtId="0" fontId="1" fillId="0" borderId="0" xfId="0" applyFont="1"/>
    <xf numFmtId="0" fontId="0" fillId="0" borderId="0" xfId="0" applyAlignment="1">
      <alignment wrapText="1"/>
    </xf>
    <xf numFmtId="16" fontId="0" fillId="0" borderId="0" xfId="0" applyNumberFormat="1"/>
    <xf numFmtId="2" fontId="0" fillId="0" borderId="0" xfId="0" applyNumberFormat="1"/>
    <xf numFmtId="0" fontId="3" fillId="0" borderId="0" xfId="0" applyFont="1"/>
    <xf numFmtId="2" fontId="0" fillId="0" borderId="0" xfId="0" applyNumberFormat="1" applyAlignment="1">
      <alignment wrapText="1"/>
    </xf>
    <xf numFmtId="11" fontId="0" fillId="0" borderId="0" xfId="0" applyNumberFormat="1" applyAlignment="1">
      <alignment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zoomScale="116" workbookViewId="0">
      <selection activeCell="D5" sqref="D5"/>
    </sheetView>
  </sheetViews>
  <sheetFormatPr defaultColWidth="8.85546875" defaultRowHeight="15" x14ac:dyDescent="0.25"/>
  <cols>
    <col min="1" max="1" width="29.85546875" bestFit="1" customWidth="1"/>
    <col min="2" max="2" width="28.28515625" bestFit="1" customWidth="1"/>
    <col min="3" max="3" width="9.42578125" bestFit="1" customWidth="1"/>
    <col min="4" max="4" width="24.28515625" bestFit="1" customWidth="1"/>
    <col min="5" max="7" width="23.140625" bestFit="1" customWidth="1"/>
    <col min="8" max="8" width="15.85546875" bestFit="1" customWidth="1"/>
    <col min="9" max="9" width="26.85546875" bestFit="1" customWidth="1"/>
  </cols>
  <sheetData>
    <row r="1" spans="1:9" x14ac:dyDescent="0.25">
      <c r="A1" s="3" t="s">
        <v>0</v>
      </c>
      <c r="B1" s="3" t="s">
        <v>1</v>
      </c>
      <c r="C1" s="3" t="s">
        <v>2</v>
      </c>
      <c r="D1" s="3" t="s">
        <v>3</v>
      </c>
      <c r="E1" t="s">
        <v>4</v>
      </c>
      <c r="F1" t="s">
        <v>5</v>
      </c>
      <c r="G1" t="s">
        <v>6</v>
      </c>
      <c r="H1" t="s">
        <v>7</v>
      </c>
      <c r="I1" t="s">
        <v>8</v>
      </c>
    </row>
    <row r="2" spans="1:9" x14ac:dyDescent="0.25">
      <c r="A2" t="s">
        <v>9</v>
      </c>
      <c r="B2" t="s">
        <v>10</v>
      </c>
      <c r="C2">
        <v>2021</v>
      </c>
      <c r="D2">
        <v>1.0288993019999999</v>
      </c>
      <c r="E2">
        <v>1.02248344</v>
      </c>
      <c r="F2">
        <v>5.6131799999999999E-4</v>
      </c>
      <c r="G2">
        <v>5.8545450000000001E-3</v>
      </c>
      <c r="H2">
        <v>2.81</v>
      </c>
    </row>
    <row r="3" spans="1:9" x14ac:dyDescent="0.25">
      <c r="A3" t="s">
        <v>9</v>
      </c>
      <c r="B3" t="s">
        <v>11</v>
      </c>
      <c r="C3">
        <v>2021</v>
      </c>
      <c r="D3">
        <v>3.6643172000000002E-2</v>
      </c>
      <c r="E3">
        <v>3.6643172000000002E-2</v>
      </c>
      <c r="F3">
        <v>0</v>
      </c>
      <c r="G3">
        <v>0</v>
      </c>
      <c r="H3">
        <v>0.21</v>
      </c>
    </row>
    <row r="4" spans="1:9" x14ac:dyDescent="0.25">
      <c r="A4" t="s">
        <v>9</v>
      </c>
      <c r="B4" t="s">
        <v>12</v>
      </c>
      <c r="C4">
        <v>2021</v>
      </c>
      <c r="D4">
        <v>1.7896126080000001</v>
      </c>
      <c r="E4">
        <v>1.7883622779999999</v>
      </c>
      <c r="F4" s="2">
        <v>9.6799999999999995E-5</v>
      </c>
      <c r="G4">
        <v>1.1535549999999999E-3</v>
      </c>
      <c r="H4">
        <v>3.87</v>
      </c>
    </row>
    <row r="5" spans="1:9" x14ac:dyDescent="0.25">
      <c r="A5" t="s">
        <v>9</v>
      </c>
      <c r="B5" t="s">
        <v>13</v>
      </c>
      <c r="C5">
        <v>2021</v>
      </c>
      <c r="D5">
        <v>2.0234238000000002E-2</v>
      </c>
      <c r="E5">
        <v>2.0192842999999999E-2</v>
      </c>
      <c r="F5" s="2">
        <v>3.1999999999999999E-6</v>
      </c>
      <c r="G5" s="2">
        <v>3.82E-5</v>
      </c>
      <c r="H5">
        <v>0.03</v>
      </c>
    </row>
    <row r="6" spans="1:9" x14ac:dyDescent="0.25">
      <c r="A6" t="s">
        <v>14</v>
      </c>
      <c r="B6" t="s">
        <v>15</v>
      </c>
      <c r="C6">
        <v>2021</v>
      </c>
      <c r="D6">
        <v>0.61204778699999995</v>
      </c>
      <c r="E6">
        <v>0.60700377100000003</v>
      </c>
      <c r="F6">
        <v>2.0257090000000001E-3</v>
      </c>
      <c r="G6">
        <v>3.018307E-3</v>
      </c>
      <c r="I6">
        <v>543.85199999999998</v>
      </c>
    </row>
    <row r="7" spans="1:9" x14ac:dyDescent="0.25">
      <c r="A7" t="s">
        <v>14</v>
      </c>
      <c r="B7" t="s">
        <v>16</v>
      </c>
      <c r="C7">
        <v>2021</v>
      </c>
      <c r="D7">
        <v>0.70289259800000004</v>
      </c>
      <c r="E7">
        <v>0.69709991100000002</v>
      </c>
      <c r="F7">
        <v>2.3263799999999999E-3</v>
      </c>
      <c r="G7">
        <v>3.4663070000000001E-3</v>
      </c>
    </row>
    <row r="8" spans="1:9" x14ac:dyDescent="0.25">
      <c r="A8" t="s">
        <v>17</v>
      </c>
      <c r="B8" t="s">
        <v>18</v>
      </c>
      <c r="C8">
        <v>2021</v>
      </c>
      <c r="D8">
        <v>0</v>
      </c>
    </row>
    <row r="9" spans="1:9" x14ac:dyDescent="0.25">
      <c r="A9" t="s">
        <v>17</v>
      </c>
      <c r="B9" t="s">
        <v>19</v>
      </c>
      <c r="C9">
        <v>2021</v>
      </c>
      <c r="D9">
        <v>0</v>
      </c>
    </row>
    <row r="10" spans="1:9" x14ac:dyDescent="0.25">
      <c r="A10" t="s">
        <v>20</v>
      </c>
      <c r="B10" t="s">
        <v>21</v>
      </c>
      <c r="C10">
        <v>2020</v>
      </c>
      <c r="D10">
        <v>0.76</v>
      </c>
    </row>
    <row r="11" spans="1:9" x14ac:dyDescent="0.25">
      <c r="A11" t="s">
        <v>20</v>
      </c>
      <c r="B11" t="s">
        <v>22</v>
      </c>
      <c r="C11">
        <v>2020</v>
      </c>
      <c r="D11">
        <v>0.54</v>
      </c>
    </row>
    <row r="12" spans="1:9" x14ac:dyDescent="0.25">
      <c r="A12" t="s">
        <v>20</v>
      </c>
      <c r="B12" t="s">
        <v>23</v>
      </c>
      <c r="C12">
        <v>2020</v>
      </c>
      <c r="D12">
        <v>0.06</v>
      </c>
    </row>
    <row r="13" spans="1:9" x14ac:dyDescent="0.25">
      <c r="A13" t="s">
        <v>20</v>
      </c>
      <c r="B13" t="s">
        <v>24</v>
      </c>
      <c r="C13">
        <v>2020</v>
      </c>
      <c r="D13">
        <v>0.96</v>
      </c>
    </row>
    <row r="14" spans="1:9" x14ac:dyDescent="0.25">
      <c r="A14" t="s">
        <v>20</v>
      </c>
      <c r="B14" t="s">
        <v>25</v>
      </c>
      <c r="C14">
        <v>2020</v>
      </c>
      <c r="D14">
        <v>0.33940199999999998</v>
      </c>
    </row>
    <row r="15" spans="1:9" x14ac:dyDescent="0.25">
      <c r="A15" t="s">
        <v>26</v>
      </c>
      <c r="B15" t="s">
        <v>27</v>
      </c>
      <c r="C15">
        <v>2017</v>
      </c>
      <c r="D15" s="2">
        <v>9.8800000000000003E-5</v>
      </c>
    </row>
    <row r="16" spans="1:9" x14ac:dyDescent="0.25">
      <c r="A16" t="s">
        <v>26</v>
      </c>
      <c r="B16" t="s">
        <v>28</v>
      </c>
      <c r="C16">
        <v>2017</v>
      </c>
      <c r="D16">
        <v>2.9055485999999998E-2</v>
      </c>
    </row>
    <row r="17" spans="1:4" x14ac:dyDescent="0.25">
      <c r="A17" t="s">
        <v>26</v>
      </c>
      <c r="B17" t="s">
        <v>29</v>
      </c>
      <c r="C17">
        <v>2017</v>
      </c>
      <c r="D17" s="2">
        <v>8.6799999999999996E-5</v>
      </c>
    </row>
    <row r="18" spans="1:4" x14ac:dyDescent="0.25">
      <c r="A18" t="s">
        <v>30</v>
      </c>
      <c r="B18" t="s">
        <v>31</v>
      </c>
      <c r="C18">
        <v>2021</v>
      </c>
      <c r="D18">
        <v>9.2857143000000003E-2</v>
      </c>
    </row>
    <row r="19" spans="1:4" x14ac:dyDescent="0.25">
      <c r="A19" t="s">
        <v>32</v>
      </c>
      <c r="B19" t="s">
        <v>33</v>
      </c>
      <c r="C19">
        <v>2015</v>
      </c>
      <c r="D19">
        <v>-0.54712576700000004</v>
      </c>
    </row>
    <row r="20" spans="1:4" x14ac:dyDescent="0.25">
      <c r="A20" t="s">
        <v>32</v>
      </c>
      <c r="B20" t="s">
        <v>34</v>
      </c>
      <c r="C20">
        <v>2015</v>
      </c>
      <c r="D20">
        <v>-4.3034145000000003E-2</v>
      </c>
    </row>
    <row r="21" spans="1:4" x14ac:dyDescent="0.25">
      <c r="A21" t="s">
        <v>32</v>
      </c>
      <c r="B21" t="s">
        <v>35</v>
      </c>
      <c r="C21">
        <v>2015</v>
      </c>
      <c r="D21">
        <v>-3.7731317E-2</v>
      </c>
    </row>
    <row r="22" spans="1:4" x14ac:dyDescent="0.25">
      <c r="C22" s="1"/>
      <c r="D22">
        <f>SUM(D2:D21)</f>
        <v>6.3439387049999985</v>
      </c>
    </row>
    <row r="23" spans="1:4" x14ac:dyDescent="0.25">
      <c r="C23" s="1"/>
    </row>
    <row r="24" spans="1:4" x14ac:dyDescent="0.25">
      <c r="C24" s="1"/>
    </row>
    <row r="25" spans="1:4" x14ac:dyDescent="0.25">
      <c r="C25" s="1"/>
    </row>
    <row r="26" spans="1:4" x14ac:dyDescent="0.25">
      <c r="C26" s="1"/>
    </row>
    <row r="27" spans="1:4" x14ac:dyDescent="0.25">
      <c r="C27" s="1"/>
    </row>
    <row r="28" spans="1:4" x14ac:dyDescent="0.25">
      <c r="C28" s="1"/>
    </row>
    <row r="29" spans="1:4" x14ac:dyDescent="0.25">
      <c r="C29" s="1"/>
    </row>
    <row r="30" spans="1:4" x14ac:dyDescent="0.25">
      <c r="C30" s="1"/>
    </row>
    <row r="31" spans="1:4" x14ac:dyDescent="0.25">
      <c r="C31" s="1"/>
    </row>
    <row r="32" spans="1:4" x14ac:dyDescent="0.25">
      <c r="C32" s="1"/>
    </row>
    <row r="33" spans="3:5" x14ac:dyDescent="0.25">
      <c r="C33" s="1"/>
      <c r="E33" t="s">
        <v>36</v>
      </c>
    </row>
    <row r="34" spans="3:5" x14ac:dyDescent="0.25">
      <c r="C34" s="1"/>
    </row>
    <row r="35" spans="3:5" x14ac:dyDescent="0.25">
      <c r="C35" s="1"/>
    </row>
    <row r="36" spans="3:5" x14ac:dyDescent="0.25">
      <c r="C36" s="1"/>
    </row>
    <row r="37" spans="3:5" x14ac:dyDescent="0.25">
      <c r="C37" s="1"/>
    </row>
    <row r="38" spans="3:5" x14ac:dyDescent="0.25">
      <c r="C38" s="1"/>
    </row>
    <row r="39" spans="3:5" x14ac:dyDescent="0.25">
      <c r="C39" s="1"/>
    </row>
    <row r="40" spans="3:5" x14ac:dyDescent="0.25">
      <c r="C40" s="1"/>
    </row>
    <row r="41" spans="3:5" x14ac:dyDescent="0.25">
      <c r="C41" s="1"/>
    </row>
    <row r="42" spans="3:5" x14ac:dyDescent="0.25">
      <c r="C42" s="1"/>
    </row>
    <row r="43" spans="3:5" x14ac:dyDescent="0.25">
      <c r="C43" s="1"/>
    </row>
    <row r="44" spans="3:5" x14ac:dyDescent="0.25">
      <c r="C44" s="1"/>
    </row>
    <row r="45" spans="3:5" x14ac:dyDescent="0.25">
      <c r="C45" s="1"/>
    </row>
    <row r="46" spans="3:5" x14ac:dyDescent="0.25">
      <c r="C46" s="1"/>
    </row>
    <row r="47" spans="3:5" x14ac:dyDescent="0.25">
      <c r="C47" s="1"/>
    </row>
    <row r="48" spans="3:5" x14ac:dyDescent="0.25">
      <c r="C48" s="1"/>
    </row>
    <row r="49" spans="3:3" x14ac:dyDescent="0.25">
      <c r="C49" s="1"/>
    </row>
    <row r="50" spans="3:3" x14ac:dyDescent="0.25">
      <c r="C50" s="1"/>
    </row>
    <row r="51" spans="3:3" x14ac:dyDescent="0.25">
      <c r="C51" s="1"/>
    </row>
    <row r="52" spans="3:3" x14ac:dyDescent="0.25">
      <c r="C52" s="1"/>
    </row>
    <row r="53" spans="3:3" x14ac:dyDescent="0.25">
      <c r="C53" s="1"/>
    </row>
    <row r="54" spans="3:3" x14ac:dyDescent="0.25">
      <c r="C54" s="1"/>
    </row>
    <row r="55" spans="3:3" x14ac:dyDescent="0.25">
      <c r="C55" s="1"/>
    </row>
    <row r="56" spans="3:3" x14ac:dyDescent="0.25">
      <c r="C56" s="1"/>
    </row>
    <row r="57" spans="3:3" x14ac:dyDescent="0.25">
      <c r="C57" s="1"/>
    </row>
    <row r="58" spans="3:3" x14ac:dyDescent="0.25">
      <c r="C58" s="1"/>
    </row>
    <row r="59" spans="3:3" x14ac:dyDescent="0.25">
      <c r="C59" s="1"/>
    </row>
    <row r="60" spans="3:3" x14ac:dyDescent="0.25">
      <c r="C60" s="1"/>
    </row>
    <row r="61" spans="3:3" x14ac:dyDescent="0.25">
      <c r="C6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FD0BF-8AFF-4689-87B8-C09E91264B0A}">
  <dimension ref="A1:G47"/>
  <sheetViews>
    <sheetView tabSelected="1" zoomScale="91" workbookViewId="0">
      <selection activeCell="G11" sqref="G11"/>
    </sheetView>
  </sheetViews>
  <sheetFormatPr defaultRowHeight="15" x14ac:dyDescent="0.25"/>
  <cols>
    <col min="3" max="3" width="11" bestFit="1" customWidth="1"/>
    <col min="4" max="4" width="12" customWidth="1"/>
    <col min="5" max="5" width="14.28515625" bestFit="1" customWidth="1"/>
    <col min="6" max="6" width="26.140625" bestFit="1" customWidth="1"/>
    <col min="7" max="7" width="27" bestFit="1" customWidth="1"/>
  </cols>
  <sheetData>
    <row r="1" spans="1:7" ht="30.75" customHeight="1" x14ac:dyDescent="0.25">
      <c r="A1" t="s">
        <v>340</v>
      </c>
      <c r="B1" t="s">
        <v>37</v>
      </c>
      <c r="C1" t="s">
        <v>341</v>
      </c>
      <c r="D1" s="4" t="s">
        <v>342</v>
      </c>
      <c r="E1" s="4" t="s">
        <v>343</v>
      </c>
      <c r="F1" t="s">
        <v>346</v>
      </c>
      <c r="G1" t="s">
        <v>347</v>
      </c>
    </row>
    <row r="2" spans="1:7" x14ac:dyDescent="0.25">
      <c r="A2" t="s">
        <v>304</v>
      </c>
      <c r="B2" t="s">
        <v>312</v>
      </c>
      <c r="C2" t="s">
        <v>324</v>
      </c>
      <c r="D2">
        <v>-0.1</v>
      </c>
      <c r="E2" s="10">
        <f>D2*Summary!D5</f>
        <v>-2.0234238000000002E-3</v>
      </c>
      <c r="F2" s="10">
        <f>SUM(E2:E4)</f>
        <v>-6.0702714000000005E-3</v>
      </c>
      <c r="G2" s="10">
        <f>F2</f>
        <v>-6.0702714000000005E-3</v>
      </c>
    </row>
    <row r="3" spans="1:7" x14ac:dyDescent="0.25">
      <c r="C3" t="s">
        <v>327</v>
      </c>
      <c r="D3">
        <v>-0.3</v>
      </c>
      <c r="E3">
        <f>D3*Summary!D5</f>
        <v>-6.0702714000000005E-3</v>
      </c>
    </row>
    <row r="4" spans="1:7" x14ac:dyDescent="0.25">
      <c r="C4" t="s">
        <v>331</v>
      </c>
      <c r="D4">
        <v>0.1</v>
      </c>
      <c r="E4">
        <f>D4*Summary!D5</f>
        <v>2.0234238000000002E-3</v>
      </c>
    </row>
    <row r="5" spans="1:7" x14ac:dyDescent="0.25">
      <c r="A5" t="s">
        <v>305</v>
      </c>
      <c r="B5" t="s">
        <v>312</v>
      </c>
      <c r="C5" t="s">
        <v>324</v>
      </c>
      <c r="D5">
        <v>-0.1</v>
      </c>
      <c r="E5" s="10">
        <f>D5*Summary!D5</f>
        <v>-2.0234238000000002E-3</v>
      </c>
      <c r="F5" s="10">
        <f>SUM(E5:E7)</f>
        <v>-6.0702714000000005E-3</v>
      </c>
      <c r="G5" s="10">
        <f>SUM(F5,F8)</f>
        <v>-0.56572580580000009</v>
      </c>
    </row>
    <row r="6" spans="1:7" x14ac:dyDescent="0.25">
      <c r="C6" t="s">
        <v>327</v>
      </c>
      <c r="D6">
        <v>-0.3</v>
      </c>
      <c r="E6">
        <f>D6*Summary!D5</f>
        <v>-6.0702714000000005E-3</v>
      </c>
    </row>
    <row r="7" spans="1:7" x14ac:dyDescent="0.25">
      <c r="C7" t="s">
        <v>331</v>
      </c>
      <c r="D7">
        <v>0.1</v>
      </c>
      <c r="E7" s="10">
        <f>D7*Summary!D5</f>
        <v>2.0234238000000002E-3</v>
      </c>
    </row>
    <row r="8" spans="1:7" x14ac:dyDescent="0.25">
      <c r="B8" t="s">
        <v>313</v>
      </c>
      <c r="C8" t="s">
        <v>324</v>
      </c>
      <c r="D8">
        <v>0.2</v>
      </c>
      <c r="E8">
        <f>D8*Summary!D5</f>
        <v>4.0468476000000003E-3</v>
      </c>
      <c r="F8">
        <f>SUM(E8:E10)</f>
        <v>-0.55965553440000004</v>
      </c>
    </row>
    <row r="9" spans="1:7" x14ac:dyDescent="0.25">
      <c r="C9" t="s">
        <v>325</v>
      </c>
      <c r="D9">
        <v>-0.2</v>
      </c>
      <c r="E9">
        <f>D9*Summary!D2</f>
        <v>-0.20577986039999999</v>
      </c>
    </row>
    <row r="10" spans="1:7" x14ac:dyDescent="0.25">
      <c r="C10" t="s">
        <v>326</v>
      </c>
      <c r="D10">
        <v>-0.2</v>
      </c>
      <c r="E10">
        <f>D10*Summary!D4</f>
        <v>-0.35792252160000004</v>
      </c>
    </row>
    <row r="11" spans="1:7" x14ac:dyDescent="0.25">
      <c r="B11" t="s">
        <v>348</v>
      </c>
      <c r="C11" t="s">
        <v>324</v>
      </c>
      <c r="D11">
        <v>-0.1</v>
      </c>
      <c r="E11">
        <f>D11*Summary!D5</f>
        <v>-2.0234238000000002E-3</v>
      </c>
      <c r="F11">
        <f>SUM(E11:E13)</f>
        <v>-0.46283587560000006</v>
      </c>
    </row>
    <row r="12" spans="1:7" x14ac:dyDescent="0.25">
      <c r="C12" t="s">
        <v>325</v>
      </c>
      <c r="D12">
        <v>-0.1</v>
      </c>
      <c r="E12">
        <f>D12*Summary!D2</f>
        <v>-0.10288993019999999</v>
      </c>
    </row>
    <row r="13" spans="1:7" x14ac:dyDescent="0.25">
      <c r="C13" t="s">
        <v>326</v>
      </c>
      <c r="D13">
        <v>-0.2</v>
      </c>
      <c r="E13">
        <f>D13*Summary!D4</f>
        <v>-0.35792252160000004</v>
      </c>
    </row>
    <row r="14" spans="1:7" x14ac:dyDescent="0.25">
      <c r="A14" t="s">
        <v>306</v>
      </c>
      <c r="B14" t="s">
        <v>314</v>
      </c>
      <c r="C14" t="s">
        <v>325</v>
      </c>
      <c r="D14">
        <v>-0.2</v>
      </c>
      <c r="E14">
        <f>D14*Summary!D2</f>
        <v>-0.20577986039999999</v>
      </c>
      <c r="F14">
        <f>SUM(E14:E18)</f>
        <v>-1.2034760945999998</v>
      </c>
      <c r="G14">
        <f>F14</f>
        <v>-1.2034760945999998</v>
      </c>
    </row>
    <row r="15" spans="1:7" x14ac:dyDescent="0.25">
      <c r="C15" t="s">
        <v>326</v>
      </c>
      <c r="D15">
        <v>-0.2</v>
      </c>
      <c r="E15">
        <f>D15*Summary!D4</f>
        <v>-0.35792252160000004</v>
      </c>
    </row>
    <row r="16" spans="1:7" x14ac:dyDescent="0.25">
      <c r="C16" t="s">
        <v>328</v>
      </c>
      <c r="D16">
        <v>-0.3</v>
      </c>
      <c r="E16">
        <f>D16*Summary!D2</f>
        <v>-0.30866979059999994</v>
      </c>
    </row>
    <row r="17" spans="1:7" x14ac:dyDescent="0.25">
      <c r="C17" t="s">
        <v>329</v>
      </c>
      <c r="D17">
        <v>-0.3</v>
      </c>
      <c r="E17">
        <f>D17*Summary!D4</f>
        <v>-0.53688378240000001</v>
      </c>
    </row>
    <row r="18" spans="1:7" x14ac:dyDescent="0.25">
      <c r="C18" t="s">
        <v>331</v>
      </c>
      <c r="D18">
        <v>0.2</v>
      </c>
      <c r="E18">
        <f>D18*Summary!D2</f>
        <v>0.20577986039999999</v>
      </c>
    </row>
    <row r="19" spans="1:7" x14ac:dyDescent="0.25">
      <c r="A19" t="s">
        <v>307</v>
      </c>
      <c r="B19" t="s">
        <v>315</v>
      </c>
      <c r="C19" t="s">
        <v>330</v>
      </c>
      <c r="D19">
        <v>-0.2</v>
      </c>
      <c r="E19">
        <f>D19*(Summary!D6+Summary!D7)</f>
        <v>-0.26298807699999999</v>
      </c>
      <c r="F19">
        <f>SUM(E19:E21)</f>
        <v>-0.72775945229999994</v>
      </c>
      <c r="G19">
        <f>F19</f>
        <v>-0.72775945229999994</v>
      </c>
    </row>
    <row r="20" spans="1:7" x14ac:dyDescent="0.25">
      <c r="C20" t="s">
        <v>331</v>
      </c>
      <c r="D20">
        <v>-0.3</v>
      </c>
      <c r="E20">
        <f>D20*(Summary!D6+Summary!D7)</f>
        <v>-0.39448211549999995</v>
      </c>
    </row>
    <row r="21" spans="1:7" x14ac:dyDescent="0.25">
      <c r="C21" t="s">
        <v>332</v>
      </c>
      <c r="D21">
        <v>-0.1</v>
      </c>
      <c r="E21">
        <f>D21*Summary!D7</f>
        <v>-7.0289259800000004E-2</v>
      </c>
    </row>
    <row r="22" spans="1:7" x14ac:dyDescent="0.25">
      <c r="A22" t="s">
        <v>308</v>
      </c>
      <c r="B22" t="s">
        <v>315</v>
      </c>
      <c r="C22" t="s">
        <v>330</v>
      </c>
      <c r="D22">
        <v>-0.2</v>
      </c>
      <c r="E22">
        <f>D22*(Summary!D6+Summary!D7)</f>
        <v>-0.26298807699999999</v>
      </c>
      <c r="F22">
        <f>SUM(E22:E24)</f>
        <v>-0.72775945229999994</v>
      </c>
      <c r="G22">
        <f>SUM(F22,F25,F26)</f>
        <v>-1.3852296447999999</v>
      </c>
    </row>
    <row r="23" spans="1:7" x14ac:dyDescent="0.25">
      <c r="C23" t="s">
        <v>331</v>
      </c>
      <c r="D23">
        <v>-0.3</v>
      </c>
      <c r="E23">
        <f>D23*(Summary!D6+Summary!D7)</f>
        <v>-0.39448211549999995</v>
      </c>
    </row>
    <row r="24" spans="1:7" x14ac:dyDescent="0.25">
      <c r="C24" t="s">
        <v>332</v>
      </c>
      <c r="D24">
        <v>-0.1</v>
      </c>
      <c r="E24">
        <f>D24*Summary!D7</f>
        <v>-7.0289259800000004E-2</v>
      </c>
    </row>
    <row r="25" spans="1:7" x14ac:dyDescent="0.25">
      <c r="B25" t="s">
        <v>316</v>
      </c>
      <c r="C25" t="s">
        <v>331</v>
      </c>
      <c r="D25">
        <v>-0.3</v>
      </c>
      <c r="E25">
        <f>D25*(Summary!D6+Summary!D7)</f>
        <v>-0.39448211549999995</v>
      </c>
      <c r="F25">
        <f>E25</f>
        <v>-0.39448211549999995</v>
      </c>
    </row>
    <row r="26" spans="1:7" x14ac:dyDescent="0.25">
      <c r="B26" t="s">
        <v>317</v>
      </c>
      <c r="C26" t="s">
        <v>331</v>
      </c>
      <c r="D26">
        <v>-0.2</v>
      </c>
      <c r="E26">
        <f>D26*(Summary!D6+Summary!D7)</f>
        <v>-0.26298807699999999</v>
      </c>
      <c r="F26">
        <f t="shared" ref="F26:F28" si="0">E26</f>
        <v>-0.26298807699999999</v>
      </c>
    </row>
    <row r="27" spans="1:7" x14ac:dyDescent="0.25">
      <c r="A27" t="s">
        <v>309</v>
      </c>
      <c r="B27" t="s">
        <v>316</v>
      </c>
      <c r="C27" t="s">
        <v>331</v>
      </c>
      <c r="D27">
        <v>-0.3</v>
      </c>
      <c r="E27">
        <f>D27*(Summary!D6+Summary!D7)</f>
        <v>-0.39448211549999995</v>
      </c>
      <c r="F27">
        <f t="shared" si="0"/>
        <v>-0.39448211549999995</v>
      </c>
      <c r="G27">
        <f>SUM(F27:F28)</f>
        <v>-0.7889642309999999</v>
      </c>
    </row>
    <row r="28" spans="1:7" x14ac:dyDescent="0.25">
      <c r="B28" t="s">
        <v>317</v>
      </c>
      <c r="C28" t="s">
        <v>331</v>
      </c>
      <c r="D28">
        <v>-0.3</v>
      </c>
      <c r="E28">
        <f>D28*(Summary!D6+Summary!D7)</f>
        <v>-0.39448211549999995</v>
      </c>
      <c r="F28">
        <f t="shared" si="0"/>
        <v>-0.39448211549999995</v>
      </c>
    </row>
    <row r="29" spans="1:7" x14ac:dyDescent="0.25">
      <c r="A29" t="s">
        <v>312</v>
      </c>
      <c r="B29" t="s">
        <v>318</v>
      </c>
      <c r="C29" t="s">
        <v>333</v>
      </c>
      <c r="D29">
        <v>-0.1</v>
      </c>
      <c r="E29">
        <f>D29*SUM(Summary!D10:D12)</f>
        <v>-0.13600000000000001</v>
      </c>
      <c r="F29">
        <f>SUM(E29:E31)</f>
        <v>-1.1258205999999999</v>
      </c>
      <c r="G29">
        <f>SUM(F29,F32)</f>
        <v>-2.2516411999999999</v>
      </c>
    </row>
    <row r="30" spans="1:7" x14ac:dyDescent="0.25">
      <c r="C30" t="s">
        <v>334</v>
      </c>
      <c r="D30">
        <v>-0.2</v>
      </c>
      <c r="E30">
        <f>D30*Summary!D13</f>
        <v>-0.192</v>
      </c>
    </row>
    <row r="31" spans="1:7" x14ac:dyDescent="0.25">
      <c r="C31" t="s">
        <v>335</v>
      </c>
      <c r="D31">
        <v>-0.3</v>
      </c>
      <c r="E31">
        <f>D31*SUM(Summary!D10:D14)</f>
        <v>-0.79782059999999999</v>
      </c>
    </row>
    <row r="32" spans="1:7" x14ac:dyDescent="0.25">
      <c r="B32" t="s">
        <v>319</v>
      </c>
      <c r="C32" t="s">
        <v>333</v>
      </c>
      <c r="D32">
        <v>-0.1</v>
      </c>
      <c r="E32">
        <f>D32*SUM(Summary!D10:D12)</f>
        <v>-0.13600000000000001</v>
      </c>
      <c r="F32">
        <f>SUM(E32:E34)</f>
        <v>-1.1258205999999999</v>
      </c>
    </row>
    <row r="33" spans="1:7" x14ac:dyDescent="0.25">
      <c r="C33" t="s">
        <v>334</v>
      </c>
      <c r="D33">
        <v>-0.2</v>
      </c>
      <c r="E33">
        <f>D33*Summary!D13</f>
        <v>-0.192</v>
      </c>
    </row>
    <row r="34" spans="1:7" x14ac:dyDescent="0.25">
      <c r="C34" t="s">
        <v>335</v>
      </c>
      <c r="D34">
        <v>-0.3</v>
      </c>
      <c r="E34">
        <f>D34*SUM(Summary!D10:D14)</f>
        <v>-0.79782059999999999</v>
      </c>
    </row>
    <row r="35" spans="1:7" x14ac:dyDescent="0.25">
      <c r="A35" t="s">
        <v>313</v>
      </c>
      <c r="B35" t="s">
        <v>319</v>
      </c>
      <c r="C35" t="s">
        <v>333</v>
      </c>
      <c r="D35">
        <v>-0.1</v>
      </c>
      <c r="E35">
        <f>D35*SUM(Summary!D10:D12)</f>
        <v>-0.13600000000000001</v>
      </c>
      <c r="F35">
        <f>SUM(E35:E37)</f>
        <v>-1.1258205999999999</v>
      </c>
      <c r="G35">
        <f>F35</f>
        <v>-1.1258205999999999</v>
      </c>
    </row>
    <row r="36" spans="1:7" x14ac:dyDescent="0.25">
      <c r="C36" t="s">
        <v>334</v>
      </c>
      <c r="D36">
        <v>-0.2</v>
      </c>
      <c r="E36">
        <f>D36*Summary!D13</f>
        <v>-0.192</v>
      </c>
    </row>
    <row r="37" spans="1:7" x14ac:dyDescent="0.25">
      <c r="C37" t="s">
        <v>335</v>
      </c>
      <c r="D37">
        <v>-0.3</v>
      </c>
      <c r="E37">
        <f>D37*SUM(Summary!D10:D14)</f>
        <v>-0.79782059999999999</v>
      </c>
    </row>
    <row r="38" spans="1:7" x14ac:dyDescent="0.25">
      <c r="A38" t="s">
        <v>310</v>
      </c>
      <c r="B38" t="s">
        <v>320</v>
      </c>
      <c r="C38" t="s">
        <v>336</v>
      </c>
      <c r="D38">
        <v>-0.2</v>
      </c>
      <c r="E38">
        <f>D38*Summary!D18</f>
        <v>-1.8571428600000002E-2</v>
      </c>
      <c r="F38">
        <f>E38</f>
        <v>-1.8571428600000002E-2</v>
      </c>
      <c r="G38">
        <f>F38</f>
        <v>-1.8571428600000002E-2</v>
      </c>
    </row>
    <row r="39" spans="1:7" x14ac:dyDescent="0.25">
      <c r="A39" t="s">
        <v>311</v>
      </c>
      <c r="B39" t="s">
        <v>321</v>
      </c>
      <c r="C39" t="s">
        <v>338</v>
      </c>
      <c r="D39">
        <v>-0.1</v>
      </c>
      <c r="E39" s="2">
        <f>D39*SUM(Summary!D15:D17)</f>
        <v>-2.9241086000000001E-3</v>
      </c>
      <c r="F39">
        <f t="shared" ref="F39:F41" si="1">E39</f>
        <v>-2.9241086000000001E-3</v>
      </c>
      <c r="G39">
        <f>SUM(F39:F40)</f>
        <v>-8.7723258000000012E-3</v>
      </c>
    </row>
    <row r="40" spans="1:7" x14ac:dyDescent="0.25">
      <c r="B40" t="s">
        <v>322</v>
      </c>
      <c r="C40" t="s">
        <v>338</v>
      </c>
      <c r="D40">
        <v>-0.2</v>
      </c>
      <c r="E40" s="2">
        <f>D40*SUM(Summary!D15:D17)</f>
        <v>-5.8482172000000002E-3</v>
      </c>
      <c r="F40">
        <f t="shared" si="1"/>
        <v>-5.8482172000000002E-3</v>
      </c>
    </row>
    <row r="41" spans="1:7" x14ac:dyDescent="0.25">
      <c r="A41" t="s">
        <v>337</v>
      </c>
      <c r="B41" t="s">
        <v>323</v>
      </c>
      <c r="C41" t="s">
        <v>339</v>
      </c>
      <c r="D41">
        <v>-0.2</v>
      </c>
      <c r="E41">
        <f>D41*SUM(Summary!D19:D21)</f>
        <v>0.12557824580000002</v>
      </c>
      <c r="F41">
        <f t="shared" si="1"/>
        <v>0.12557824580000002</v>
      </c>
      <c r="G41">
        <f>F41</f>
        <v>0.12557824580000002</v>
      </c>
    </row>
    <row r="46" spans="1:7" x14ac:dyDescent="0.25">
      <c r="D46" t="s">
        <v>344</v>
      </c>
    </row>
    <row r="47" spans="1:7" x14ac:dyDescent="0.25">
      <c r="D47" t="s">
        <v>345</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56"/>
  <sheetViews>
    <sheetView topLeftCell="BG1" zoomScale="89" zoomScaleNormal="180" workbookViewId="0">
      <selection activeCell="BJ24" sqref="BJ24"/>
    </sheetView>
  </sheetViews>
  <sheetFormatPr defaultColWidth="8.85546875" defaultRowHeight="15" x14ac:dyDescent="0.25"/>
  <cols>
    <col min="1" max="1" width="8.42578125" customWidth="1"/>
    <col min="2" max="2" width="85.7109375" customWidth="1"/>
    <col min="3" max="9" width="4" customWidth="1"/>
    <col min="10" max="10" width="3.7109375" customWidth="1"/>
    <col min="11" max="12" width="4" customWidth="1"/>
    <col min="13" max="15" width="4.5703125" bestFit="1" customWidth="1"/>
    <col min="16" max="24" width="3.7109375" customWidth="1"/>
    <col min="25" max="26" width="4.7109375" bestFit="1" customWidth="1"/>
    <col min="27" max="35" width="3.7109375" customWidth="1"/>
    <col min="36" max="39" width="4.85546875" bestFit="1" customWidth="1"/>
    <col min="40" max="42" width="4.85546875" customWidth="1"/>
    <col min="43" max="43" width="4" customWidth="1"/>
    <col min="44" max="47" width="3.7109375" customWidth="1"/>
    <col min="48" max="51" width="4.28515625" bestFit="1" customWidth="1"/>
    <col min="52" max="52" width="24.5703125" customWidth="1"/>
    <col min="53" max="53" width="25.28515625" bestFit="1" customWidth="1"/>
    <col min="54" max="54" width="23.5703125" customWidth="1"/>
    <col min="55" max="55" width="51.7109375" bestFit="1" customWidth="1"/>
    <col min="56" max="56" width="13.7109375" bestFit="1" customWidth="1"/>
    <col min="57" max="57" width="24.42578125" bestFit="1" customWidth="1"/>
    <col min="58" max="58" width="18" bestFit="1" customWidth="1"/>
    <col min="59" max="59" width="23.85546875" customWidth="1"/>
    <col min="60" max="60" width="34.28515625" bestFit="1" customWidth="1"/>
    <col min="61" max="61" width="33.140625" customWidth="1"/>
    <col min="62" max="62" width="35.28515625" bestFit="1" customWidth="1"/>
    <col min="63" max="63" width="127.140625" bestFit="1" customWidth="1"/>
  </cols>
  <sheetData>
    <row r="1" spans="1:71" x14ac:dyDescent="0.25">
      <c r="A1" t="s">
        <v>37</v>
      </c>
      <c r="B1" t="s">
        <v>38</v>
      </c>
      <c r="C1" t="s">
        <v>39</v>
      </c>
      <c r="D1" t="s">
        <v>40</v>
      </c>
      <c r="E1" t="s">
        <v>41</v>
      </c>
      <c r="F1" t="s">
        <v>42</v>
      </c>
      <c r="G1" t="s">
        <v>43</v>
      </c>
      <c r="H1" t="s">
        <v>44</v>
      </c>
      <c r="I1" t="s">
        <v>45</v>
      </c>
      <c r="J1" t="s">
        <v>46</v>
      </c>
      <c r="K1" t="s">
        <v>47</v>
      </c>
      <c r="L1" t="s">
        <v>48</v>
      </c>
      <c r="M1" t="s">
        <v>49</v>
      </c>
      <c r="N1" t="s">
        <v>50</v>
      </c>
      <c r="O1" t="s">
        <v>51</v>
      </c>
      <c r="P1" t="s">
        <v>52</v>
      </c>
      <c r="Q1" t="s">
        <v>53</v>
      </c>
      <c r="R1" t="s">
        <v>54</v>
      </c>
      <c r="S1" t="s">
        <v>55</v>
      </c>
      <c r="T1" t="s">
        <v>56</v>
      </c>
      <c r="U1" t="s">
        <v>57</v>
      </c>
      <c r="V1" t="s">
        <v>58</v>
      </c>
      <c r="W1" t="s">
        <v>59</v>
      </c>
      <c r="X1" t="s">
        <v>60</v>
      </c>
      <c r="Y1" t="s">
        <v>61</v>
      </c>
      <c r="Z1" t="s">
        <v>62</v>
      </c>
      <c r="AA1" t="s">
        <v>63</v>
      </c>
      <c r="AB1" t="s">
        <v>64</v>
      </c>
      <c r="AC1" t="s">
        <v>65</v>
      </c>
      <c r="AD1" t="s">
        <v>66</v>
      </c>
      <c r="AE1" t="s">
        <v>67</v>
      </c>
      <c r="AF1" t="s">
        <v>68</v>
      </c>
      <c r="AG1" t="s">
        <v>69</v>
      </c>
      <c r="AH1" t="s">
        <v>70</v>
      </c>
      <c r="AI1" t="s">
        <v>71</v>
      </c>
      <c r="AJ1" t="s">
        <v>72</v>
      </c>
      <c r="AK1" t="s">
        <v>73</v>
      </c>
      <c r="AL1" t="s">
        <v>74</v>
      </c>
      <c r="AM1" t="s">
        <v>75</v>
      </c>
      <c r="AN1" t="s">
        <v>76</v>
      </c>
      <c r="AO1" t="s">
        <v>77</v>
      </c>
      <c r="AP1" t="s">
        <v>78</v>
      </c>
      <c r="AQ1" t="s">
        <v>79</v>
      </c>
      <c r="AR1" t="s">
        <v>80</v>
      </c>
      <c r="AS1" t="s">
        <v>81</v>
      </c>
      <c r="AT1" t="s">
        <v>82</v>
      </c>
      <c r="AU1" t="s">
        <v>83</v>
      </c>
      <c r="AV1" t="s">
        <v>84</v>
      </c>
      <c r="AW1" t="s">
        <v>85</v>
      </c>
      <c r="AX1" t="s">
        <v>86</v>
      </c>
      <c r="AY1" t="s">
        <v>87</v>
      </c>
      <c r="AZ1" t="s">
        <v>88</v>
      </c>
      <c r="BA1" t="s">
        <v>89</v>
      </c>
      <c r="BB1" t="s">
        <v>90</v>
      </c>
      <c r="BC1" t="s">
        <v>91</v>
      </c>
      <c r="BD1" t="s">
        <v>92</v>
      </c>
      <c r="BE1" t="s">
        <v>93</v>
      </c>
      <c r="BF1" t="s">
        <v>92</v>
      </c>
      <c r="BG1" t="s">
        <v>94</v>
      </c>
      <c r="BH1" t="s">
        <v>95</v>
      </c>
      <c r="BI1" t="s">
        <v>96</v>
      </c>
      <c r="BJ1" t="s">
        <v>95</v>
      </c>
      <c r="BK1" t="s">
        <v>97</v>
      </c>
    </row>
    <row r="2" spans="1:71" x14ac:dyDescent="0.25">
      <c r="A2" t="s">
        <v>98</v>
      </c>
      <c r="B2" s="4" t="s">
        <v>99</v>
      </c>
      <c r="C2" s="4" t="s">
        <v>100</v>
      </c>
      <c r="D2" s="4"/>
      <c r="E2" s="4"/>
      <c r="F2" s="4"/>
      <c r="G2" s="4"/>
      <c r="H2" s="4"/>
      <c r="I2" s="4"/>
      <c r="K2" s="4"/>
      <c r="L2" s="4"/>
      <c r="AZ2">
        <f>0.1*Summary!D5-1000000000*0.1*Calculation!L5/(3000*2204.62*1000000)</f>
        <v>2.0234238000000002E-3</v>
      </c>
      <c r="BA2">
        <f>AZ2*1000</f>
        <v>2.0234238000000002</v>
      </c>
      <c r="BB2">
        <f>AZ2/Summary!D$22*100</f>
        <v>3.1895386984196923E-2</v>
      </c>
      <c r="BC2" s="6" t="s">
        <v>101</v>
      </c>
      <c r="BD2" s="6">
        <v>10</v>
      </c>
      <c r="BE2" s="6"/>
      <c r="BF2" s="6"/>
      <c r="BG2" s="6" t="s">
        <v>101</v>
      </c>
      <c r="BH2" s="6" t="s">
        <v>102</v>
      </c>
      <c r="BI2" s="6"/>
      <c r="BJ2" s="6"/>
      <c r="BK2" t="s">
        <v>103</v>
      </c>
    </row>
    <row r="3" spans="1:71" ht="30" x14ac:dyDescent="0.25">
      <c r="A3" t="s">
        <v>104</v>
      </c>
      <c r="B3" s="4" t="s">
        <v>105</v>
      </c>
      <c r="C3" s="4"/>
      <c r="D3" s="4" t="s">
        <v>100</v>
      </c>
      <c r="E3" s="4"/>
      <c r="F3" s="4"/>
      <c r="G3" s="4"/>
      <c r="H3" s="4"/>
      <c r="I3" s="4"/>
      <c r="K3" s="4"/>
      <c r="L3" s="4"/>
      <c r="AZ3">
        <f>0.05*Summary!D4</f>
        <v>8.9480630400000011E-2</v>
      </c>
      <c r="BA3">
        <f t="shared" ref="BA3:BA37" si="0">AZ3*1000</f>
        <v>89.48063040000001</v>
      </c>
      <c r="BB3">
        <f>AZ3/Summary!D$22*100</f>
        <v>1.4104901475399743</v>
      </c>
      <c r="BC3" s="6" t="s">
        <v>106</v>
      </c>
      <c r="BD3" s="6">
        <v>5</v>
      </c>
      <c r="BI3" s="6"/>
      <c r="BJ3" s="6"/>
      <c r="BK3" s="6" t="s">
        <v>107</v>
      </c>
      <c r="BL3" s="6"/>
      <c r="BM3" s="6"/>
      <c r="BN3" s="6"/>
      <c r="BQ3" s="6"/>
      <c r="BR3" s="6"/>
      <c r="BS3" s="6"/>
    </row>
    <row r="4" spans="1:71" ht="28.5" customHeight="1" x14ac:dyDescent="0.25">
      <c r="A4" t="s">
        <v>108</v>
      </c>
      <c r="B4" s="4" t="s">
        <v>109</v>
      </c>
      <c r="C4" s="4"/>
      <c r="D4" s="4"/>
      <c r="E4" s="4" t="s">
        <v>100</v>
      </c>
      <c r="F4" s="4"/>
      <c r="G4" s="4"/>
      <c r="H4" s="4"/>
      <c r="I4" s="4"/>
      <c r="K4" s="4"/>
      <c r="L4" s="4"/>
      <c r="AZ4">
        <f>(0.05*(Summary!E2+Summary!E4)+Summary!E5)*0.1</f>
        <v>1.6073512889999999E-2</v>
      </c>
      <c r="BA4">
        <f t="shared" si="0"/>
        <v>16.07351289</v>
      </c>
      <c r="BB4">
        <f>AZ4/Summary!D$22*100</f>
        <v>0.2533680358123826</v>
      </c>
      <c r="BC4" s="6" t="s">
        <v>110</v>
      </c>
      <c r="BD4" s="6">
        <v>0.5</v>
      </c>
      <c r="BE4" s="6" t="s">
        <v>111</v>
      </c>
      <c r="BF4" s="6">
        <v>10</v>
      </c>
      <c r="BG4" s="6"/>
      <c r="BH4" s="6"/>
      <c r="BI4" s="6"/>
      <c r="BJ4" s="6"/>
      <c r="BK4" t="s">
        <v>112</v>
      </c>
    </row>
    <row r="5" spans="1:71" x14ac:dyDescent="0.25">
      <c r="A5" t="s">
        <v>113</v>
      </c>
      <c r="B5" s="5" t="s">
        <v>114</v>
      </c>
      <c r="C5" s="5"/>
      <c r="D5" s="5"/>
      <c r="E5" s="5"/>
      <c r="F5" s="5" t="s">
        <v>100</v>
      </c>
      <c r="G5" s="5" t="s">
        <v>100</v>
      </c>
      <c r="H5" s="5" t="s">
        <v>100</v>
      </c>
      <c r="I5" s="5" t="s">
        <v>100</v>
      </c>
      <c r="J5" s="5" t="s">
        <v>100</v>
      </c>
      <c r="K5" s="5"/>
      <c r="L5" s="5"/>
      <c r="AZ5">
        <f>0.05*Summary!D2-0.1*Summary!D5</f>
        <v>4.9421541299999996E-2</v>
      </c>
      <c r="BA5">
        <f t="shared" si="0"/>
        <v>49.421541299999994</v>
      </c>
      <c r="BB5">
        <f>AZ5/Summary!D$22*100</f>
        <v>0.77903560545199202</v>
      </c>
      <c r="BC5" s="6" t="s">
        <v>115</v>
      </c>
      <c r="BD5" s="6">
        <v>5</v>
      </c>
      <c r="BE5" s="6"/>
      <c r="BF5" s="6"/>
      <c r="BG5" s="6" t="s">
        <v>101</v>
      </c>
      <c r="BH5" s="6">
        <v>10</v>
      </c>
      <c r="BI5" s="6"/>
      <c r="BJ5" s="6"/>
      <c r="BK5" t="s">
        <v>116</v>
      </c>
    </row>
    <row r="6" spans="1:71" ht="14.25" customHeight="1" x14ac:dyDescent="0.25">
      <c r="A6" t="s">
        <v>117</v>
      </c>
      <c r="B6" s="4" t="s">
        <v>118</v>
      </c>
      <c r="C6" s="4"/>
      <c r="D6" s="4"/>
      <c r="E6" s="4"/>
      <c r="F6" s="4" t="s">
        <v>100</v>
      </c>
      <c r="G6" s="4" t="s">
        <v>100</v>
      </c>
      <c r="H6" s="4" t="s">
        <v>100</v>
      </c>
      <c r="I6" s="4" t="s">
        <v>100</v>
      </c>
      <c r="J6" s="4" t="s">
        <v>100</v>
      </c>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f>0.1*Summary!D2-0.05*Summary!D5</f>
        <v>0.10187821829999999</v>
      </c>
      <c r="BA6">
        <f t="shared" si="0"/>
        <v>101.87821829999999</v>
      </c>
      <c r="BB6">
        <f>AZ6/Summary!D$22*100</f>
        <v>1.6059142913802793</v>
      </c>
      <c r="BC6" s="6" t="s">
        <v>115</v>
      </c>
      <c r="BD6" s="6">
        <v>10</v>
      </c>
      <c r="BE6" s="6"/>
      <c r="BF6" s="6"/>
      <c r="BG6" s="6" t="s">
        <v>101</v>
      </c>
      <c r="BH6" s="6">
        <v>5</v>
      </c>
      <c r="BI6" s="6"/>
      <c r="BJ6" s="6"/>
      <c r="BK6" t="s">
        <v>119</v>
      </c>
    </row>
    <row r="7" spans="1:71" ht="16.5" customHeight="1" x14ac:dyDescent="0.25">
      <c r="A7" t="s">
        <v>120</v>
      </c>
      <c r="B7" s="4" t="s">
        <v>121</v>
      </c>
      <c r="C7" s="4"/>
      <c r="D7" s="4"/>
      <c r="E7" s="4"/>
      <c r="F7" s="5" t="s">
        <v>100</v>
      </c>
      <c r="G7" s="5" t="s">
        <v>100</v>
      </c>
      <c r="H7" s="5" t="s">
        <v>100</v>
      </c>
      <c r="I7" s="5" t="s">
        <v>100</v>
      </c>
      <c r="J7" s="5" t="s">
        <v>100</v>
      </c>
      <c r="K7" s="4"/>
      <c r="L7" s="4"/>
      <c r="AZ7">
        <f>0.05*Summary!D2-0.05*Summary!D5</f>
        <v>5.04332532E-2</v>
      </c>
      <c r="BA7">
        <f t="shared" si="0"/>
        <v>50.433253200000003</v>
      </c>
      <c r="BB7">
        <f>AZ7/Summary!D$22*100</f>
        <v>0.79498329894409048</v>
      </c>
      <c r="BC7" s="6" t="s">
        <v>115</v>
      </c>
      <c r="BD7" s="6">
        <v>5</v>
      </c>
      <c r="BE7" s="6"/>
      <c r="BF7" s="6"/>
      <c r="BG7" s="6" t="s">
        <v>101</v>
      </c>
      <c r="BH7" s="6">
        <v>5</v>
      </c>
      <c r="BI7" s="6"/>
      <c r="BJ7" s="6"/>
      <c r="BK7" t="s">
        <v>122</v>
      </c>
    </row>
    <row r="8" spans="1:71" x14ac:dyDescent="0.25">
      <c r="A8" t="s">
        <v>123</v>
      </c>
      <c r="B8" s="4" t="s">
        <v>124</v>
      </c>
      <c r="C8" s="4"/>
      <c r="D8" s="4"/>
      <c r="E8" s="4"/>
      <c r="F8" s="4" t="s">
        <v>100</v>
      </c>
      <c r="G8" s="4" t="s">
        <v>100</v>
      </c>
      <c r="H8" s="4" t="s">
        <v>100</v>
      </c>
      <c r="I8" s="4" t="s">
        <v>100</v>
      </c>
      <c r="J8" s="4" t="s">
        <v>100</v>
      </c>
      <c r="K8" s="4"/>
      <c r="L8" s="4"/>
      <c r="AZ8">
        <f>0.1*Summary!D2-0.1*Summary!D5</f>
        <v>0.1008665064</v>
      </c>
      <c r="BA8">
        <f t="shared" si="0"/>
        <v>100.86650640000001</v>
      </c>
      <c r="BB8">
        <f>AZ8/Summary!D$22*100</f>
        <v>1.589966597888181</v>
      </c>
      <c r="BC8" s="6" t="s">
        <v>115</v>
      </c>
      <c r="BD8" s="6">
        <v>10</v>
      </c>
      <c r="BE8" s="6"/>
      <c r="BF8" s="6"/>
      <c r="BG8" s="6" t="s">
        <v>101</v>
      </c>
      <c r="BH8" s="6">
        <v>10</v>
      </c>
      <c r="BI8" s="6"/>
      <c r="BJ8" s="6"/>
      <c r="BK8" t="s">
        <v>125</v>
      </c>
    </row>
    <row r="9" spans="1:71" ht="15" customHeight="1" x14ac:dyDescent="0.25">
      <c r="A9" t="s">
        <v>126</v>
      </c>
      <c r="B9" s="4" t="s">
        <v>127</v>
      </c>
      <c r="C9" s="4"/>
      <c r="D9" s="4"/>
      <c r="E9" s="4"/>
      <c r="F9" s="4" t="s">
        <v>100</v>
      </c>
      <c r="G9" s="4" t="s">
        <v>100</v>
      </c>
      <c r="H9" s="4" t="s">
        <v>100</v>
      </c>
      <c r="I9" s="4" t="s">
        <v>100</v>
      </c>
      <c r="J9" s="4" t="s">
        <v>100</v>
      </c>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f>0.1*Summary!D2-0.2*Summary!D5</f>
        <v>9.8843082599999993E-2</v>
      </c>
      <c r="BA9">
        <f t="shared" si="0"/>
        <v>98.843082599999988</v>
      </c>
      <c r="BB9">
        <f>AZ9/Summary!D$22*100</f>
        <v>1.558071210903984</v>
      </c>
      <c r="BC9" s="6" t="s">
        <v>115</v>
      </c>
      <c r="BD9" s="6">
        <v>10</v>
      </c>
      <c r="BE9" s="6"/>
      <c r="BF9" s="6"/>
      <c r="BG9" s="6" t="s">
        <v>101</v>
      </c>
      <c r="BH9" s="6">
        <v>20</v>
      </c>
      <c r="BI9" s="6"/>
      <c r="BJ9" s="6"/>
      <c r="BK9" t="s">
        <v>128</v>
      </c>
    </row>
    <row r="10" spans="1:71" ht="16.5" customHeight="1" x14ac:dyDescent="0.25">
      <c r="A10" t="s">
        <v>129</v>
      </c>
      <c r="B10" s="4" t="s">
        <v>130</v>
      </c>
      <c r="C10" s="4"/>
      <c r="D10" s="4"/>
      <c r="E10" s="4"/>
      <c r="F10" s="4"/>
      <c r="G10" s="4"/>
      <c r="H10" s="4"/>
      <c r="I10" s="4"/>
      <c r="J10" s="4"/>
      <c r="K10" s="4" t="s">
        <v>100</v>
      </c>
      <c r="L10" s="4" t="s">
        <v>100</v>
      </c>
      <c r="M10" s="4" t="s">
        <v>100</v>
      </c>
      <c r="N10" s="4" t="s">
        <v>100</v>
      </c>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f>0.2*Summary!D2-1000000000*(0.2*Summary!H2)/(3000*2204.62*1000000)</f>
        <v>0.20569488732829905</v>
      </c>
      <c r="BA10">
        <f t="shared" si="0"/>
        <v>205.69488732829905</v>
      </c>
      <c r="BB10">
        <f>AZ10/Summary!D$22*100</f>
        <v>3.242384532596128</v>
      </c>
      <c r="BC10" s="6" t="s">
        <v>115</v>
      </c>
      <c r="BD10" s="6">
        <v>20</v>
      </c>
      <c r="BE10" s="6"/>
      <c r="BF10" s="6"/>
      <c r="BG10" s="6" t="s">
        <v>115</v>
      </c>
      <c r="BH10" s="6" t="s">
        <v>131</v>
      </c>
      <c r="BI10" s="6"/>
      <c r="BJ10" s="6"/>
      <c r="BK10" t="s">
        <v>132</v>
      </c>
    </row>
    <row r="11" spans="1:71" ht="15" customHeight="1" x14ac:dyDescent="0.25">
      <c r="A11" t="s">
        <v>133</v>
      </c>
      <c r="B11" s="4" t="s">
        <v>134</v>
      </c>
      <c r="C11" s="4"/>
      <c r="D11" s="4"/>
      <c r="E11" s="4"/>
      <c r="F11" s="4"/>
      <c r="G11" s="4"/>
      <c r="H11" s="4"/>
      <c r="I11" s="4"/>
      <c r="K11" s="4" t="s">
        <v>100</v>
      </c>
      <c r="L11" s="4" t="s">
        <v>100</v>
      </c>
      <c r="M11" t="s">
        <v>100</v>
      </c>
      <c r="N11" s="4" t="s">
        <v>100</v>
      </c>
      <c r="AZ11">
        <f>0.4*Summary!D4-1000000000*(0.4*Summary!H4)/(3000*2204.62*1000000)</f>
        <v>0.71561098925873134</v>
      </c>
      <c r="BA11">
        <f t="shared" si="0"/>
        <v>715.61098925873137</v>
      </c>
      <c r="BB11">
        <f>AZ11/Summary!D$22*100</f>
        <v>11.280231769810763</v>
      </c>
      <c r="BC11" s="6" t="s">
        <v>135</v>
      </c>
      <c r="BD11" s="6">
        <v>40</v>
      </c>
      <c r="BE11" s="6"/>
      <c r="BF11" s="6"/>
      <c r="BG11" s="6" t="s">
        <v>135</v>
      </c>
      <c r="BH11" s="6" t="s">
        <v>136</v>
      </c>
      <c r="BI11" s="6"/>
      <c r="BJ11" s="6"/>
      <c r="BK11" t="s">
        <v>137</v>
      </c>
    </row>
    <row r="12" spans="1:71" ht="15" customHeight="1" x14ac:dyDescent="0.25">
      <c r="A12" t="s">
        <v>138</v>
      </c>
      <c r="B12" t="s">
        <v>139</v>
      </c>
      <c r="J12" s="4"/>
      <c r="M12" s="4" t="s">
        <v>100</v>
      </c>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f>0.05*SUM(Summary!D2:D5)</f>
        <v>0.14376946600000001</v>
      </c>
      <c r="BA12">
        <f t="shared" si="0"/>
        <v>143.76946600000002</v>
      </c>
      <c r="BB12">
        <f>AZ12/Summary!D$22*100</f>
        <v>2.2662492922052917</v>
      </c>
      <c r="BC12" s="6" t="s">
        <v>140</v>
      </c>
      <c r="BD12" s="6">
        <v>5</v>
      </c>
      <c r="BE12" s="6"/>
      <c r="BF12" s="6"/>
      <c r="BG12" s="6"/>
      <c r="BH12" s="6"/>
      <c r="BI12" s="6"/>
      <c r="BJ12" s="6"/>
      <c r="BK12" t="s">
        <v>141</v>
      </c>
    </row>
    <row r="13" spans="1:71" x14ac:dyDescent="0.25">
      <c r="A13" t="s">
        <v>142</v>
      </c>
      <c r="B13" s="4" t="s">
        <v>143</v>
      </c>
      <c r="C13" s="4"/>
      <c r="D13" s="4"/>
      <c r="E13" s="4"/>
      <c r="F13" s="4"/>
      <c r="G13" s="4"/>
      <c r="H13" s="4"/>
      <c r="I13" s="4"/>
      <c r="K13" s="4" t="s">
        <v>100</v>
      </c>
      <c r="L13" s="4" t="s">
        <v>100</v>
      </c>
      <c r="M13" s="4" t="s">
        <v>100</v>
      </c>
      <c r="N13" s="4" t="s">
        <v>100</v>
      </c>
      <c r="AZ13">
        <f>0.4*Summary!D2-1000000000*(0.4*Summary!H2)/(3000*2204.62*1000000)</f>
        <v>0.4113897746565981</v>
      </c>
      <c r="BA13">
        <f t="shared" si="0"/>
        <v>411.38977465659809</v>
      </c>
      <c r="BB13">
        <f>AZ13/Summary!D$22*100</f>
        <v>6.484769065192256</v>
      </c>
      <c r="BC13" s="6" t="s">
        <v>115</v>
      </c>
      <c r="BD13" s="6">
        <v>40</v>
      </c>
      <c r="BG13" s="6" t="s">
        <v>115</v>
      </c>
      <c r="BH13" s="6" t="s">
        <v>136</v>
      </c>
      <c r="BI13" s="6"/>
      <c r="BJ13" s="6"/>
      <c r="BK13" t="s">
        <v>144</v>
      </c>
    </row>
    <row r="14" spans="1:71" x14ac:dyDescent="0.25">
      <c r="A14" t="s">
        <v>145</v>
      </c>
      <c r="B14" t="s">
        <v>146</v>
      </c>
      <c r="O14" t="s">
        <v>100</v>
      </c>
      <c r="AZ14">
        <f>0.1*SUM(Summary!D2:D5)</f>
        <v>0.28753893200000002</v>
      </c>
      <c r="BA14">
        <f t="shared" si="0"/>
        <v>287.53893200000005</v>
      </c>
      <c r="BB14">
        <f>AZ14/Summary!D$22*100</f>
        <v>4.5324985844105834</v>
      </c>
      <c r="BC14" s="6" t="s">
        <v>140</v>
      </c>
      <c r="BD14" s="6">
        <v>10</v>
      </c>
      <c r="BE14" s="6"/>
      <c r="BF14" s="6"/>
      <c r="BG14" s="6"/>
      <c r="BH14" s="6"/>
      <c r="BI14" s="6"/>
      <c r="BJ14" s="6"/>
      <c r="BK14" t="s">
        <v>147</v>
      </c>
    </row>
    <row r="15" spans="1:71" ht="14.25" customHeight="1" x14ac:dyDescent="0.25">
      <c r="A15" s="4" t="s">
        <v>148</v>
      </c>
      <c r="B15" s="4" t="s">
        <v>149</v>
      </c>
      <c r="C15" s="4"/>
      <c r="D15" s="4"/>
      <c r="E15" s="4"/>
      <c r="F15" s="4"/>
      <c r="G15" s="4"/>
      <c r="H15" s="4"/>
      <c r="I15" s="4"/>
      <c r="K15" s="4"/>
      <c r="L15" s="4"/>
      <c r="P15" t="s">
        <v>100</v>
      </c>
      <c r="Q15" t="s">
        <v>100</v>
      </c>
      <c r="R15" t="s">
        <v>100</v>
      </c>
      <c r="S15" t="s">
        <v>100</v>
      </c>
      <c r="U15" t="s">
        <v>100</v>
      </c>
      <c r="V15" t="s">
        <v>100</v>
      </c>
      <c r="W15" t="s">
        <v>100</v>
      </c>
      <c r="X15" t="s">
        <v>100</v>
      </c>
      <c r="AZ15">
        <f>0.1*SUM(Summary!D6:D7)</f>
        <v>0.13149403849999999</v>
      </c>
      <c r="BA15">
        <f t="shared" si="0"/>
        <v>131.49403849999999</v>
      </c>
      <c r="BB15">
        <f>AZ15/Summary!D$22*100</f>
        <v>2.072750772266486</v>
      </c>
      <c r="BC15" s="8" t="s">
        <v>150</v>
      </c>
      <c r="BD15" s="6">
        <v>10</v>
      </c>
      <c r="BE15" s="6"/>
      <c r="BF15" s="6"/>
      <c r="BG15" s="6"/>
      <c r="BH15" s="6"/>
      <c r="BI15" s="6"/>
      <c r="BJ15" s="6"/>
      <c r="BK15" t="s">
        <v>151</v>
      </c>
    </row>
    <row r="16" spans="1:71" ht="16.5" customHeight="1" x14ac:dyDescent="0.25">
      <c r="A16" s="4" t="s">
        <v>152</v>
      </c>
      <c r="B16" s="4" t="s">
        <v>153</v>
      </c>
      <c r="C16" s="4"/>
      <c r="D16" s="4"/>
      <c r="E16" s="4"/>
      <c r="F16" s="4"/>
      <c r="G16" s="4"/>
      <c r="H16" s="4"/>
      <c r="I16" s="4"/>
      <c r="K16" s="4"/>
      <c r="L16" s="4"/>
      <c r="P16" t="s">
        <v>100</v>
      </c>
      <c r="Q16" t="s">
        <v>100</v>
      </c>
      <c r="R16" t="s">
        <v>100</v>
      </c>
      <c r="S16" t="s">
        <v>100</v>
      </c>
      <c r="U16" t="s">
        <v>100</v>
      </c>
      <c r="V16" t="s">
        <v>100</v>
      </c>
      <c r="W16" t="s">
        <v>100</v>
      </c>
      <c r="X16" t="s">
        <v>100</v>
      </c>
      <c r="AZ16">
        <f>0.15*SUM(Summary!D6:D7)</f>
        <v>0.19724105774999998</v>
      </c>
      <c r="BA16">
        <f t="shared" si="0"/>
        <v>197.24105774999998</v>
      </c>
      <c r="BB16">
        <f>AZ16/Summary!D$22*100</f>
        <v>3.1091261583997292</v>
      </c>
      <c r="BC16" s="8" t="s">
        <v>150</v>
      </c>
      <c r="BD16" s="6">
        <v>15</v>
      </c>
      <c r="BE16" s="6"/>
      <c r="BF16" s="6"/>
      <c r="BG16" s="6"/>
      <c r="BH16" s="6"/>
      <c r="BI16" s="6"/>
      <c r="BJ16" s="6"/>
      <c r="BK16" t="s">
        <v>154</v>
      </c>
    </row>
    <row r="17" spans="1:63" ht="16.5" customHeight="1" x14ac:dyDescent="0.25">
      <c r="A17" s="4" t="s">
        <v>155</v>
      </c>
      <c r="B17" s="4" t="s">
        <v>156</v>
      </c>
      <c r="C17" s="4"/>
      <c r="D17" s="4"/>
      <c r="E17" s="4"/>
      <c r="F17" s="4"/>
      <c r="G17" s="4"/>
      <c r="H17" s="4"/>
      <c r="I17" s="4"/>
      <c r="K17" s="4"/>
      <c r="L17" s="4"/>
      <c r="P17" t="s">
        <v>100</v>
      </c>
      <c r="Q17" t="s">
        <v>100</v>
      </c>
      <c r="R17" t="s">
        <v>100</v>
      </c>
      <c r="S17" t="s">
        <v>100</v>
      </c>
      <c r="U17" t="s">
        <v>100</v>
      </c>
      <c r="V17" t="s">
        <v>100</v>
      </c>
      <c r="W17" t="s">
        <v>100</v>
      </c>
      <c r="X17" t="s">
        <v>100</v>
      </c>
      <c r="AZ17">
        <f>0.2*SUM(Summary!D6:D7)</f>
        <v>0.26298807699999999</v>
      </c>
      <c r="BA17">
        <f t="shared" si="0"/>
        <v>262.98807699999998</v>
      </c>
      <c r="BB17">
        <f>AZ17/Summary!D$22*100</f>
        <v>4.1455015445329719</v>
      </c>
      <c r="BC17" s="8" t="s">
        <v>150</v>
      </c>
      <c r="BD17" s="6">
        <v>20</v>
      </c>
      <c r="BE17" s="6"/>
      <c r="BF17" s="6"/>
      <c r="BG17" s="6"/>
      <c r="BH17" s="6"/>
      <c r="BI17" s="6"/>
      <c r="BJ17" s="6"/>
      <c r="BK17" t="s">
        <v>157</v>
      </c>
    </row>
    <row r="18" spans="1:63" ht="15" customHeight="1" x14ac:dyDescent="0.25">
      <c r="A18" s="4" t="s">
        <v>158</v>
      </c>
      <c r="B18" s="4" t="s">
        <v>159</v>
      </c>
      <c r="C18" s="4"/>
      <c r="D18" s="4"/>
      <c r="E18" s="4"/>
      <c r="F18" s="4"/>
      <c r="G18" s="4"/>
      <c r="H18" s="4"/>
      <c r="I18" s="4"/>
      <c r="K18" s="4"/>
      <c r="L18" s="4"/>
      <c r="P18" t="s">
        <v>100</v>
      </c>
      <c r="Q18" t="s">
        <v>100</v>
      </c>
      <c r="R18" t="s">
        <v>100</v>
      </c>
      <c r="S18" t="s">
        <v>100</v>
      </c>
      <c r="U18" t="s">
        <v>100</v>
      </c>
      <c r="V18" t="s">
        <v>100</v>
      </c>
      <c r="W18" t="s">
        <v>100</v>
      </c>
      <c r="X18" t="s">
        <v>100</v>
      </c>
      <c r="AZ18">
        <f>0.3*SUM(Summary!D6:D7)</f>
        <v>0.39448211549999995</v>
      </c>
      <c r="BA18">
        <f t="shared" si="0"/>
        <v>394.48211549999996</v>
      </c>
      <c r="BB18">
        <f>AZ18/Summary!D$22*100</f>
        <v>6.2182523167994583</v>
      </c>
      <c r="BC18" s="8" t="s">
        <v>150</v>
      </c>
      <c r="BD18" s="6">
        <v>30</v>
      </c>
      <c r="BE18" s="6"/>
      <c r="BF18" s="6"/>
      <c r="BG18" s="6"/>
      <c r="BH18" s="6"/>
      <c r="BI18" s="6"/>
      <c r="BJ18" s="6"/>
      <c r="BK18" t="s">
        <v>160</v>
      </c>
    </row>
    <row r="19" spans="1:63" ht="15.75" customHeight="1" x14ac:dyDescent="0.25">
      <c r="A19" s="4" t="s">
        <v>161</v>
      </c>
      <c r="B19" s="4" t="s">
        <v>162</v>
      </c>
      <c r="C19" s="4"/>
      <c r="D19" s="4"/>
      <c r="E19" s="4"/>
      <c r="F19" s="4"/>
      <c r="G19" s="4"/>
      <c r="H19" s="4"/>
      <c r="I19" s="4"/>
      <c r="K19" s="4"/>
      <c r="L19" s="4"/>
      <c r="T19" t="s">
        <v>100</v>
      </c>
      <c r="AZ19">
        <f>0.4*Summary!D18</f>
        <v>3.7142857200000004E-2</v>
      </c>
      <c r="BA19">
        <f t="shared" si="0"/>
        <v>37.142857200000002</v>
      </c>
      <c r="BB19">
        <f>AZ19/Summary!D$22*100</f>
        <v>0.58548575147369764</v>
      </c>
      <c r="BC19" s="8" t="s">
        <v>163</v>
      </c>
      <c r="BD19" s="6">
        <v>40</v>
      </c>
      <c r="BE19" s="6"/>
      <c r="BF19" s="6"/>
      <c r="BG19" s="6"/>
      <c r="BH19" s="6"/>
      <c r="BI19" s="6"/>
      <c r="BJ19" s="6"/>
      <c r="BK19" t="s">
        <v>164</v>
      </c>
    </row>
    <row r="20" spans="1:63" ht="15" customHeight="1" x14ac:dyDescent="0.25">
      <c r="A20" s="4" t="s">
        <v>165</v>
      </c>
      <c r="B20" s="4" t="s">
        <v>166</v>
      </c>
      <c r="C20" s="4"/>
      <c r="D20" s="4"/>
      <c r="E20" s="4"/>
      <c r="F20" s="4"/>
      <c r="G20" s="4"/>
      <c r="H20" s="4"/>
      <c r="I20" s="4"/>
      <c r="K20" s="4"/>
      <c r="L20" s="4"/>
      <c r="Y20" t="s">
        <v>100</v>
      </c>
      <c r="Z20" t="s">
        <v>100</v>
      </c>
      <c r="AZ20">
        <f>0.1*Summary!D7</f>
        <v>7.0289259800000004E-2</v>
      </c>
      <c r="BA20">
        <f t="shared" si="0"/>
        <v>70.289259799999996</v>
      </c>
      <c r="BB20">
        <f>AZ20/Summary!D$22*100</f>
        <v>1.1079750777636181</v>
      </c>
      <c r="BC20" s="8" t="s">
        <v>167</v>
      </c>
      <c r="BD20" s="6">
        <v>10</v>
      </c>
      <c r="BE20" s="6"/>
      <c r="BF20" s="6"/>
      <c r="BG20" s="6"/>
      <c r="BH20" s="6"/>
      <c r="BI20" s="6"/>
      <c r="BJ20" s="6"/>
      <c r="BK20" t="s">
        <v>168</v>
      </c>
    </row>
    <row r="21" spans="1:63" ht="15.75" customHeight="1" x14ac:dyDescent="0.25">
      <c r="A21" s="4" t="s">
        <v>169</v>
      </c>
      <c r="B21" s="4" t="s">
        <v>170</v>
      </c>
      <c r="C21" s="4"/>
      <c r="D21" s="4"/>
      <c r="E21" s="4"/>
      <c r="F21" s="4"/>
      <c r="G21" s="4"/>
      <c r="H21" s="4"/>
      <c r="I21" s="4"/>
      <c r="J21" s="4"/>
      <c r="K21" s="4"/>
      <c r="L21" s="4"/>
      <c r="M21" s="4"/>
      <c r="N21" s="4"/>
      <c r="O21" s="4"/>
      <c r="P21" s="4"/>
      <c r="Q21" s="4"/>
      <c r="R21" s="4"/>
      <c r="S21" s="4"/>
      <c r="T21" s="4"/>
      <c r="U21" s="4"/>
      <c r="V21" s="4"/>
      <c r="W21" s="4"/>
      <c r="X21" s="4"/>
      <c r="Y21" s="4" t="s">
        <v>100</v>
      </c>
      <c r="Z21" s="4" t="s">
        <v>100</v>
      </c>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f>0.3*Summary!D7</f>
        <v>0.21086777940000001</v>
      </c>
      <c r="BA21">
        <f t="shared" si="0"/>
        <v>210.86777940000002</v>
      </c>
      <c r="BB21">
        <f>AZ21/Summary!D$22*100</f>
        <v>3.3239252332908547</v>
      </c>
      <c r="BC21" s="8" t="s">
        <v>167</v>
      </c>
      <c r="BD21" s="6">
        <v>30</v>
      </c>
      <c r="BE21" s="6"/>
      <c r="BF21" s="6"/>
      <c r="BG21" s="6"/>
      <c r="BH21" s="6"/>
      <c r="BI21" s="6"/>
      <c r="BJ21" s="6"/>
      <c r="BK21" t="s">
        <v>171</v>
      </c>
    </row>
    <row r="22" spans="1:63" x14ac:dyDescent="0.25">
      <c r="A22" s="4" t="s">
        <v>172</v>
      </c>
      <c r="B22" s="4" t="s">
        <v>173</v>
      </c>
      <c r="C22" s="4"/>
      <c r="D22" s="4"/>
      <c r="E22" s="4"/>
      <c r="F22" s="4"/>
      <c r="G22" s="4"/>
      <c r="H22" s="4"/>
      <c r="I22" s="4"/>
      <c r="K22" s="4"/>
      <c r="L22" s="4"/>
      <c r="AA22" t="s">
        <v>100</v>
      </c>
      <c r="AB22" t="s">
        <v>100</v>
      </c>
      <c r="AD22" t="s">
        <v>100</v>
      </c>
      <c r="AE22" t="s">
        <v>100</v>
      </c>
      <c r="AG22" t="s">
        <v>100</v>
      </c>
      <c r="AH22" t="s">
        <v>100</v>
      </c>
      <c r="AI22" t="s">
        <v>100</v>
      </c>
      <c r="AJ22" t="s">
        <v>100</v>
      </c>
      <c r="AK22" t="s">
        <v>100</v>
      </c>
      <c r="AL22" t="s">
        <v>100</v>
      </c>
      <c r="AM22" t="s">
        <v>100</v>
      </c>
      <c r="AZ22">
        <f>0.1*SUM(Summary!D10:D12)</f>
        <v>0.13600000000000001</v>
      </c>
      <c r="BA22">
        <f t="shared" si="0"/>
        <v>136</v>
      </c>
      <c r="BB22">
        <f>AZ22/Summary!D$22*100</f>
        <v>2.1437785944055721</v>
      </c>
      <c r="BC22" s="6" t="s">
        <v>174</v>
      </c>
      <c r="BD22" s="6">
        <v>10</v>
      </c>
      <c r="BE22" s="6"/>
      <c r="BF22" s="6"/>
      <c r="BG22" s="6"/>
      <c r="BH22" s="6"/>
      <c r="BI22" s="6"/>
      <c r="BJ22" s="6"/>
      <c r="BK22" t="s">
        <v>175</v>
      </c>
    </row>
    <row r="23" spans="1:63" x14ac:dyDescent="0.25">
      <c r="A23" s="4" t="s">
        <v>176</v>
      </c>
      <c r="B23" s="4" t="s">
        <v>177</v>
      </c>
      <c r="C23" s="4"/>
      <c r="D23" s="4"/>
      <c r="E23" s="4"/>
      <c r="F23" s="4"/>
      <c r="G23" s="4"/>
      <c r="H23" s="4"/>
      <c r="I23" s="4"/>
      <c r="K23" s="4"/>
      <c r="L23" s="4"/>
      <c r="AA23" t="s">
        <v>100</v>
      </c>
      <c r="AB23" t="s">
        <v>100</v>
      </c>
      <c r="AD23" t="s">
        <v>100</v>
      </c>
      <c r="AE23" t="s">
        <v>100</v>
      </c>
      <c r="AG23" t="s">
        <v>100</v>
      </c>
      <c r="AH23" t="s">
        <v>100</v>
      </c>
      <c r="AI23" t="s">
        <v>100</v>
      </c>
      <c r="AJ23" t="s">
        <v>100</v>
      </c>
      <c r="AK23" t="s">
        <v>100</v>
      </c>
      <c r="AL23" t="s">
        <v>100</v>
      </c>
      <c r="AM23" t="s">
        <v>100</v>
      </c>
      <c r="AZ23">
        <f>0.2*SUM(Summary!D10:D12)</f>
        <v>0.27200000000000002</v>
      </c>
      <c r="BA23">
        <f t="shared" si="0"/>
        <v>272</v>
      </c>
      <c r="BB23">
        <f>AZ23/Summary!D$22*100</f>
        <v>4.2875571888111441</v>
      </c>
      <c r="BC23" s="6" t="s">
        <v>174</v>
      </c>
      <c r="BD23" s="6">
        <v>20</v>
      </c>
      <c r="BE23" s="6"/>
      <c r="BF23" s="6"/>
      <c r="BG23" s="6"/>
      <c r="BH23" s="6"/>
      <c r="BI23" s="6"/>
      <c r="BJ23" s="6"/>
      <c r="BK23" t="s">
        <v>178</v>
      </c>
    </row>
    <row r="24" spans="1:63" x14ac:dyDescent="0.25">
      <c r="A24" s="4" t="s">
        <v>179</v>
      </c>
      <c r="B24" s="4" t="s">
        <v>180</v>
      </c>
      <c r="C24" s="4"/>
      <c r="D24" s="4"/>
      <c r="E24" s="4"/>
      <c r="F24" s="4"/>
      <c r="G24" s="4"/>
      <c r="H24" s="4"/>
      <c r="I24" s="4"/>
      <c r="K24" s="4"/>
      <c r="L24" s="4"/>
      <c r="AC24" t="s">
        <v>100</v>
      </c>
      <c r="AF24" t="s">
        <v>100</v>
      </c>
      <c r="AZ24">
        <f>0.2*SUM(Summary!D10:D12)</f>
        <v>0.27200000000000002</v>
      </c>
      <c r="BA24">
        <f t="shared" si="0"/>
        <v>272</v>
      </c>
      <c r="BB24">
        <f>AZ24/Summary!D$22*100</f>
        <v>4.2875571888111441</v>
      </c>
      <c r="BC24" s="6" t="s">
        <v>181</v>
      </c>
      <c r="BD24" s="6">
        <v>20</v>
      </c>
      <c r="BE24" s="6"/>
      <c r="BF24" s="6"/>
      <c r="BG24" s="6"/>
      <c r="BH24" s="6"/>
      <c r="BI24" s="6"/>
      <c r="BJ24" s="6"/>
      <c r="BK24" t="s">
        <v>182</v>
      </c>
    </row>
    <row r="25" spans="1:63" x14ac:dyDescent="0.25">
      <c r="A25" s="4" t="s">
        <v>183</v>
      </c>
      <c r="B25" s="4" t="s">
        <v>184</v>
      </c>
      <c r="C25" s="4"/>
      <c r="D25" s="4"/>
      <c r="E25" s="4"/>
      <c r="F25" s="4"/>
      <c r="G25" s="4"/>
      <c r="H25" s="4"/>
      <c r="I25" s="4"/>
      <c r="K25" s="4"/>
      <c r="L25" s="4"/>
      <c r="AA25" t="s">
        <v>100</v>
      </c>
      <c r="AB25" t="s">
        <v>100</v>
      </c>
      <c r="AD25" t="s">
        <v>100</v>
      </c>
      <c r="AE25" t="s">
        <v>100</v>
      </c>
      <c r="AG25" t="s">
        <v>100</v>
      </c>
      <c r="AH25" t="s">
        <v>100</v>
      </c>
      <c r="AI25" t="s">
        <v>100</v>
      </c>
      <c r="AJ25" t="s">
        <v>100</v>
      </c>
      <c r="AK25" t="s">
        <v>100</v>
      </c>
      <c r="AL25" t="s">
        <v>100</v>
      </c>
      <c r="AM25" t="s">
        <v>100</v>
      </c>
      <c r="AZ25">
        <f>0.3*SUM(Summary!D10:D12)</f>
        <v>0.40800000000000003</v>
      </c>
      <c r="BA25">
        <f t="shared" si="0"/>
        <v>408.00000000000006</v>
      </c>
      <c r="BB25">
        <f>AZ25/Summary!D$22*100</f>
        <v>6.4313357832167153</v>
      </c>
      <c r="BC25" s="6" t="s">
        <v>174</v>
      </c>
      <c r="BD25" s="6">
        <v>30</v>
      </c>
      <c r="BE25" s="6"/>
      <c r="BF25" s="6"/>
      <c r="BG25" s="6"/>
      <c r="BH25" s="6"/>
      <c r="BI25" s="6"/>
      <c r="BJ25" s="6"/>
      <c r="BK25" t="s">
        <v>185</v>
      </c>
    </row>
    <row r="26" spans="1:63" x14ac:dyDescent="0.25">
      <c r="A26" s="4" t="s">
        <v>186</v>
      </c>
      <c r="B26" s="4" t="s">
        <v>187</v>
      </c>
      <c r="C26" s="4"/>
      <c r="D26" s="4"/>
      <c r="E26" s="4"/>
      <c r="F26" s="4"/>
      <c r="G26" s="4"/>
      <c r="H26" s="4"/>
      <c r="I26" s="4"/>
      <c r="K26" s="4"/>
      <c r="L26" s="4"/>
      <c r="AA26" t="s">
        <v>100</v>
      </c>
      <c r="AB26" t="s">
        <v>100</v>
      </c>
      <c r="AD26" t="s">
        <v>100</v>
      </c>
      <c r="AE26" t="s">
        <v>100</v>
      </c>
      <c r="AG26" t="s">
        <v>100</v>
      </c>
      <c r="AH26" t="s">
        <v>100</v>
      </c>
      <c r="AI26" t="s">
        <v>100</v>
      </c>
      <c r="AJ26" t="s">
        <v>100</v>
      </c>
      <c r="AK26" t="s">
        <v>100</v>
      </c>
      <c r="AL26" t="s">
        <v>100</v>
      </c>
      <c r="AM26" t="s">
        <v>100</v>
      </c>
      <c r="AZ26">
        <f>0.4*SUM(Summary!D10:D12)</f>
        <v>0.54400000000000004</v>
      </c>
      <c r="BA26">
        <f t="shared" si="0"/>
        <v>544</v>
      </c>
      <c r="BB26">
        <f>AZ26/Summary!D$22*100</f>
        <v>8.5751143776222882</v>
      </c>
      <c r="BC26" s="6" t="s">
        <v>174</v>
      </c>
      <c r="BD26" s="6">
        <v>40</v>
      </c>
      <c r="BE26" s="6"/>
      <c r="BF26" s="6"/>
      <c r="BG26" s="6"/>
      <c r="BH26" s="6"/>
      <c r="BI26" s="6"/>
      <c r="BJ26" s="6"/>
      <c r="BK26" t="s">
        <v>188</v>
      </c>
    </row>
    <row r="27" spans="1:63" x14ac:dyDescent="0.25">
      <c r="A27" s="4" t="s">
        <v>189</v>
      </c>
      <c r="B27" s="4" t="s">
        <v>190</v>
      </c>
      <c r="C27" s="4"/>
      <c r="D27" s="4"/>
      <c r="E27" s="4"/>
      <c r="F27" s="4"/>
      <c r="G27" s="4"/>
      <c r="H27" s="4"/>
      <c r="I27" s="4"/>
      <c r="K27" s="4"/>
      <c r="L27" s="4"/>
      <c r="AA27" t="s">
        <v>100</v>
      </c>
      <c r="AB27" t="s">
        <v>100</v>
      </c>
      <c r="AD27" t="s">
        <v>100</v>
      </c>
      <c r="AE27" t="s">
        <v>100</v>
      </c>
      <c r="AG27" t="s">
        <v>100</v>
      </c>
      <c r="AH27" t="s">
        <v>100</v>
      </c>
      <c r="AI27" t="s">
        <v>100</v>
      </c>
      <c r="AJ27" t="s">
        <v>100</v>
      </c>
      <c r="AK27" t="s">
        <v>100</v>
      </c>
      <c r="AL27" t="s">
        <v>100</v>
      </c>
      <c r="AM27" t="s">
        <v>100</v>
      </c>
      <c r="AZ27">
        <f>0.5*SUM(Summary!D10:D12)</f>
        <v>0.68</v>
      </c>
      <c r="BA27">
        <f t="shared" si="0"/>
        <v>680</v>
      </c>
      <c r="BB27">
        <f>AZ27/Summary!D$22*100</f>
        <v>10.718892972027859</v>
      </c>
      <c r="BC27" s="6" t="s">
        <v>174</v>
      </c>
      <c r="BD27" s="6">
        <v>50</v>
      </c>
      <c r="BE27" s="6"/>
      <c r="BF27" s="6"/>
      <c r="BG27" s="6"/>
      <c r="BH27" s="6"/>
      <c r="BI27" s="6"/>
      <c r="BJ27" s="6"/>
      <c r="BK27" t="s">
        <v>191</v>
      </c>
    </row>
    <row r="28" spans="1:63" x14ac:dyDescent="0.25">
      <c r="A28" s="4" t="s">
        <v>192</v>
      </c>
      <c r="B28" t="s">
        <v>193</v>
      </c>
      <c r="AC28" t="s">
        <v>100</v>
      </c>
      <c r="AF28" t="s">
        <v>100</v>
      </c>
      <c r="AZ28">
        <f>0.1*Summary!D13</f>
        <v>9.6000000000000002E-2</v>
      </c>
      <c r="BA28">
        <f t="shared" si="0"/>
        <v>96</v>
      </c>
      <c r="BB28">
        <f>AZ28/Summary!D$22*100</f>
        <v>1.5132554784039332</v>
      </c>
      <c r="BC28" s="6" t="s">
        <v>194</v>
      </c>
      <c r="BD28" s="6">
        <v>10</v>
      </c>
      <c r="BK28" t="s">
        <v>195</v>
      </c>
    </row>
    <row r="29" spans="1:63" ht="15.75" customHeight="1" x14ac:dyDescent="0.25">
      <c r="A29" s="4" t="s">
        <v>196</v>
      </c>
      <c r="B29" t="s">
        <v>197</v>
      </c>
      <c r="J29" s="4"/>
      <c r="M29" s="4"/>
      <c r="N29" s="4"/>
      <c r="O29" s="4"/>
      <c r="P29" s="4"/>
      <c r="Q29" s="4"/>
      <c r="R29" s="4"/>
      <c r="S29" s="4"/>
      <c r="T29" s="4"/>
      <c r="U29" s="4"/>
      <c r="V29" s="4"/>
      <c r="W29" s="4"/>
      <c r="X29" s="4"/>
      <c r="Y29" s="4"/>
      <c r="Z29" s="4"/>
      <c r="AA29" s="4"/>
      <c r="AB29" s="4"/>
      <c r="AC29" t="s">
        <v>100</v>
      </c>
      <c r="AF29" t="s">
        <v>100</v>
      </c>
      <c r="AG29" s="4"/>
      <c r="AH29" s="4"/>
      <c r="AI29" s="4"/>
      <c r="AJ29" s="4"/>
      <c r="AK29" s="4"/>
      <c r="AL29" s="4"/>
      <c r="AM29" s="4"/>
      <c r="AN29" s="4"/>
      <c r="AO29" s="4"/>
      <c r="AP29" s="4"/>
      <c r="AQ29" s="4"/>
      <c r="AR29" s="4"/>
      <c r="AS29" s="4"/>
      <c r="AT29" s="4"/>
      <c r="AU29" s="4"/>
      <c r="AV29" s="4"/>
      <c r="AW29" s="4"/>
      <c r="AX29" s="4"/>
      <c r="AY29" s="4"/>
      <c r="AZ29" s="4">
        <f>0.2*Summary!D13</f>
        <v>0.192</v>
      </c>
      <c r="BA29">
        <f t="shared" si="0"/>
        <v>192</v>
      </c>
      <c r="BB29">
        <f>AZ29/Summary!D$22*100</f>
        <v>3.0265109568078663</v>
      </c>
      <c r="BC29" s="6" t="s">
        <v>194</v>
      </c>
      <c r="BD29" s="6">
        <v>20</v>
      </c>
      <c r="BK29" t="s">
        <v>198</v>
      </c>
    </row>
    <row r="30" spans="1:63" ht="14.25" customHeight="1" x14ac:dyDescent="0.25">
      <c r="A30" s="4" t="s">
        <v>199</v>
      </c>
      <c r="B30" t="s">
        <v>200</v>
      </c>
      <c r="J30" s="4"/>
      <c r="M30" s="4"/>
      <c r="N30" s="4"/>
      <c r="O30" s="4"/>
      <c r="P30" s="4"/>
      <c r="Q30" s="4"/>
      <c r="R30" s="4"/>
      <c r="S30" s="4"/>
      <c r="T30" s="4"/>
      <c r="U30" s="4"/>
      <c r="V30" s="4"/>
      <c r="W30" s="4"/>
      <c r="X30" s="4"/>
      <c r="Y30" s="4"/>
      <c r="Z30" s="4"/>
      <c r="AA30" s="4"/>
      <c r="AB30" s="4"/>
      <c r="AC30" t="s">
        <v>100</v>
      </c>
      <c r="AF30" t="s">
        <v>100</v>
      </c>
      <c r="AG30" s="4"/>
      <c r="AH30" s="4"/>
      <c r="AI30" s="4"/>
      <c r="AJ30" s="4"/>
      <c r="AK30" s="4"/>
      <c r="AL30" s="4"/>
      <c r="AM30" s="4"/>
      <c r="AN30" s="4"/>
      <c r="AO30" s="4"/>
      <c r="AP30" s="4"/>
      <c r="AQ30" s="4"/>
      <c r="AR30" s="4"/>
      <c r="AS30" s="4"/>
      <c r="AT30" s="4"/>
      <c r="AU30" s="4"/>
      <c r="AV30" s="4"/>
      <c r="AW30" s="4"/>
      <c r="AX30" s="4"/>
      <c r="AY30" s="4"/>
      <c r="AZ30" s="4">
        <f>0.2*Summary!D13</f>
        <v>0.192</v>
      </c>
      <c r="BA30">
        <f t="shared" si="0"/>
        <v>192</v>
      </c>
      <c r="BB30">
        <f>AZ30/Summary!D$22*100</f>
        <v>3.0265109568078663</v>
      </c>
      <c r="BC30" s="6" t="s">
        <v>194</v>
      </c>
      <c r="BD30" s="6">
        <v>30</v>
      </c>
      <c r="BK30" t="s">
        <v>201</v>
      </c>
    </row>
    <row r="31" spans="1:63" ht="16.5" customHeight="1" x14ac:dyDescent="0.25">
      <c r="A31" s="4" t="s">
        <v>202</v>
      </c>
      <c r="B31" s="4" t="s">
        <v>203</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t="s">
        <v>100</v>
      </c>
      <c r="AN31" s="4"/>
      <c r="AO31" s="4"/>
      <c r="AP31" s="4"/>
      <c r="AQ31" s="4"/>
      <c r="AR31" s="4"/>
      <c r="AS31" s="4"/>
      <c r="AT31" s="4"/>
      <c r="AU31" s="4"/>
      <c r="AV31" s="4"/>
      <c r="AW31" s="4"/>
      <c r="AX31" s="4"/>
      <c r="AY31" s="4"/>
      <c r="AZ31" s="4">
        <f>0.5*SUM(Summary!D6:D7)</f>
        <v>0.65747019249999994</v>
      </c>
      <c r="BA31">
        <f t="shared" si="0"/>
        <v>657.47019249999994</v>
      </c>
      <c r="BB31">
        <f>AZ31/Summary!D$22*100</f>
        <v>10.36375386133243</v>
      </c>
      <c r="BC31" s="8" t="s">
        <v>150</v>
      </c>
      <c r="BD31" s="6">
        <v>50</v>
      </c>
      <c r="BE31" s="6"/>
      <c r="BF31" s="6"/>
      <c r="BG31" s="6"/>
      <c r="BH31" s="6"/>
      <c r="BI31" s="6"/>
      <c r="BJ31" s="6"/>
      <c r="BK31" t="s">
        <v>204</v>
      </c>
    </row>
    <row r="32" spans="1:63" x14ac:dyDescent="0.25">
      <c r="A32" s="4" t="s">
        <v>205</v>
      </c>
      <c r="B32" t="s">
        <v>206</v>
      </c>
      <c r="AN32" t="s">
        <v>100</v>
      </c>
      <c r="AO32" t="s">
        <v>100</v>
      </c>
      <c r="AP32" t="s">
        <v>100</v>
      </c>
      <c r="AZ32">
        <f>0.1*Summary!D14</f>
        <v>3.3940199999999997E-2</v>
      </c>
      <c r="BA32">
        <f t="shared" si="0"/>
        <v>33.940199999999997</v>
      </c>
      <c r="BB32">
        <f>AZ32/Summary!D$22*100</f>
        <v>0.53500201654297042</v>
      </c>
      <c r="BC32" s="6" t="s">
        <v>207</v>
      </c>
      <c r="BD32" s="6">
        <v>10</v>
      </c>
      <c r="BE32" s="6"/>
      <c r="BF32" s="6"/>
      <c r="BG32" s="6"/>
      <c r="BH32" s="6"/>
      <c r="BI32" s="6"/>
      <c r="BJ32" s="6"/>
      <c r="BK32" t="s">
        <v>208</v>
      </c>
    </row>
    <row r="33" spans="1:63" ht="13.5" customHeight="1" x14ac:dyDescent="0.25">
      <c r="A33" s="4" t="s">
        <v>209</v>
      </c>
      <c r="B33" t="s">
        <v>210</v>
      </c>
      <c r="J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t="s">
        <v>100</v>
      </c>
      <c r="AO33" t="s">
        <v>100</v>
      </c>
      <c r="AP33" t="s">
        <v>100</v>
      </c>
      <c r="AU33" s="4"/>
      <c r="AV33" s="4"/>
      <c r="AW33" s="4"/>
      <c r="AX33" s="4"/>
      <c r="AY33" s="4"/>
      <c r="AZ33" s="4">
        <f>0.2*Summary!D14</f>
        <v>6.7880399999999994E-2</v>
      </c>
      <c r="BA33">
        <f t="shared" si="0"/>
        <v>67.880399999999995</v>
      </c>
      <c r="BB33">
        <f>AZ33/Summary!D$22*100</f>
        <v>1.0700040330859408</v>
      </c>
      <c r="BC33" s="6" t="s">
        <v>207</v>
      </c>
      <c r="BD33" s="6">
        <v>20</v>
      </c>
      <c r="BE33" s="6"/>
      <c r="BF33" s="6"/>
      <c r="BG33" s="6"/>
      <c r="BH33" s="6"/>
      <c r="BI33" s="6"/>
      <c r="BJ33" s="6"/>
      <c r="BK33" t="s">
        <v>211</v>
      </c>
    </row>
    <row r="34" spans="1:63" ht="14.25" customHeight="1" x14ac:dyDescent="0.25">
      <c r="A34" s="4" t="s">
        <v>212</v>
      </c>
      <c r="B34" s="4" t="s">
        <v>213</v>
      </c>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t="s">
        <v>100</v>
      </c>
      <c r="AO34" t="s">
        <v>100</v>
      </c>
      <c r="AP34" t="s">
        <v>100</v>
      </c>
      <c r="AU34" s="4"/>
      <c r="AV34" s="4"/>
      <c r="AW34" s="4"/>
      <c r="AX34" s="4"/>
      <c r="AY34" s="4"/>
      <c r="AZ34" s="4">
        <f>0.3*Summary!D14</f>
        <v>0.1018206</v>
      </c>
      <c r="BA34">
        <f t="shared" si="0"/>
        <v>101.8206</v>
      </c>
      <c r="BB34">
        <f>AZ34/Summary!D$22*100</f>
        <v>1.6050060496289116</v>
      </c>
      <c r="BC34" s="6" t="s">
        <v>207</v>
      </c>
      <c r="BD34" s="6">
        <v>30</v>
      </c>
      <c r="BE34" s="6"/>
      <c r="BF34" s="6"/>
      <c r="BG34" s="6"/>
      <c r="BH34" s="6"/>
      <c r="BI34" s="6"/>
      <c r="BJ34" s="6"/>
      <c r="BK34" t="s">
        <v>214</v>
      </c>
    </row>
    <row r="35" spans="1:63" x14ac:dyDescent="0.25">
      <c r="A35" s="4" t="s">
        <v>215</v>
      </c>
      <c r="B35" s="4" t="s">
        <v>216</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t="s">
        <v>100</v>
      </c>
      <c r="AR35" t="s">
        <v>100</v>
      </c>
      <c r="AS35" t="s">
        <v>100</v>
      </c>
      <c r="AT35" s="4"/>
      <c r="AU35" s="4"/>
      <c r="AV35" s="4"/>
      <c r="AW35" s="4"/>
      <c r="AX35" s="4"/>
      <c r="AY35" s="4"/>
      <c r="AZ35" s="4">
        <f>0.2*SUM(Summary!D19:D21)</f>
        <v>-0.12557824580000002</v>
      </c>
      <c r="BA35">
        <f t="shared" si="0"/>
        <v>-125.57824580000002</v>
      </c>
      <c r="BB35">
        <f>AZ35/Summary!D$22*100</f>
        <v>-1.979499671095893</v>
      </c>
      <c r="BC35" s="6" t="s">
        <v>217</v>
      </c>
      <c r="BD35" s="6">
        <v>20</v>
      </c>
      <c r="BE35" s="6"/>
      <c r="BF35" s="6"/>
      <c r="BG35" s="6"/>
      <c r="BH35" s="6"/>
      <c r="BI35" s="6"/>
      <c r="BJ35" s="6"/>
      <c r="BK35" t="s">
        <v>218</v>
      </c>
    </row>
    <row r="36" spans="1:63" x14ac:dyDescent="0.25">
      <c r="A36" s="4" t="s">
        <v>219</v>
      </c>
      <c r="B36" s="4" t="s">
        <v>220</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t="s">
        <v>100</v>
      </c>
      <c r="AR36" t="s">
        <v>100</v>
      </c>
      <c r="AS36" t="s">
        <v>100</v>
      </c>
      <c r="AT36" s="4"/>
      <c r="AU36" s="4"/>
      <c r="AV36" s="4"/>
      <c r="AW36" s="4"/>
      <c r="AX36" s="4"/>
      <c r="AY36" s="4"/>
      <c r="AZ36" s="4">
        <f>0.1*SUM(Summary!D19:D21)</f>
        <v>-6.2789122900000008E-2</v>
      </c>
      <c r="BA36">
        <f t="shared" si="0"/>
        <v>-62.78912290000001</v>
      </c>
      <c r="BB36">
        <f>AZ36/Summary!D$22*100</f>
        <v>-0.98974983554794649</v>
      </c>
      <c r="BC36" s="6" t="s">
        <v>217</v>
      </c>
      <c r="BD36" s="6">
        <v>10</v>
      </c>
      <c r="BE36" s="6"/>
      <c r="BF36" s="6"/>
      <c r="BG36" s="6"/>
      <c r="BH36" s="6"/>
      <c r="BI36" s="6"/>
      <c r="BJ36" s="6"/>
      <c r="BK36" t="s">
        <v>221</v>
      </c>
    </row>
    <row r="37" spans="1:63" x14ac:dyDescent="0.25">
      <c r="A37" s="4" t="s">
        <v>222</v>
      </c>
      <c r="B37" s="4" t="s">
        <v>223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t="s">
        <v>100</v>
      </c>
      <c r="AU37" s="4"/>
      <c r="AV37" s="4"/>
      <c r="AW37" s="4"/>
      <c r="AX37" s="4"/>
      <c r="AY37" s="4"/>
      <c r="AZ37" s="9">
        <f>0.2*SUM(Summary!D15:D17)</f>
        <v>5.8482172000000002E-3</v>
      </c>
      <c r="BA37">
        <f t="shared" si="0"/>
        <v>5.8482172000000006</v>
      </c>
      <c r="BB37">
        <f>AZ37/Summary!D$22*100</f>
        <v>9.2185903299959487E-2</v>
      </c>
      <c r="BC37" s="6" t="s">
        <v>224</v>
      </c>
      <c r="BD37" s="6">
        <v>20</v>
      </c>
      <c r="BE37" s="6"/>
      <c r="BF37" s="6"/>
      <c r="BG37" s="6"/>
      <c r="BH37" s="6"/>
      <c r="BI37" s="6"/>
      <c r="BJ37" s="6"/>
      <c r="BK37" t="s">
        <v>225</v>
      </c>
    </row>
    <row r="38" spans="1:63" x14ac:dyDescent="0.25">
      <c r="B38" s="4"/>
      <c r="C38" s="4"/>
      <c r="D38" s="4"/>
      <c r="E38" s="4"/>
      <c r="F38" s="4"/>
      <c r="G38" s="4"/>
      <c r="H38" s="4"/>
      <c r="I38" s="4"/>
      <c r="K38" s="4"/>
      <c r="L38" s="4"/>
      <c r="BC38" s="6"/>
      <c r="BD38" s="6"/>
      <c r="BE38" s="6"/>
      <c r="BF38" s="6"/>
      <c r="BG38" s="6"/>
      <c r="BH38" s="6"/>
      <c r="BI38" s="6"/>
      <c r="BJ38" s="6"/>
    </row>
    <row r="39" spans="1:63" x14ac:dyDescent="0.25">
      <c r="B39" s="4"/>
      <c r="C39" s="4"/>
      <c r="D39" s="4"/>
      <c r="E39" s="4"/>
      <c r="F39" s="4"/>
      <c r="G39" s="4"/>
      <c r="H39" s="4"/>
      <c r="I39" s="4"/>
      <c r="K39" s="4"/>
      <c r="L39" s="4"/>
      <c r="BC39" s="6"/>
      <c r="BD39" s="6"/>
      <c r="BE39" s="6"/>
      <c r="BF39" s="6"/>
      <c r="BG39" s="6"/>
      <c r="BH39" s="6"/>
      <c r="BI39" s="6"/>
      <c r="BJ39" s="6"/>
    </row>
    <row r="40" spans="1:63" ht="33" customHeight="1" x14ac:dyDescent="0.25">
      <c r="J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6"/>
      <c r="BD40" s="6"/>
      <c r="BE40" s="6"/>
      <c r="BF40" s="6"/>
      <c r="BG40" s="6"/>
      <c r="BH40" s="6"/>
      <c r="BI40" s="6"/>
      <c r="BJ40" s="6"/>
    </row>
    <row r="41" spans="1:63" ht="33" customHeight="1" x14ac:dyDescent="0.25">
      <c r="J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row>
    <row r="42" spans="1:63" x14ac:dyDescent="0.25">
      <c r="BC42" s="6"/>
      <c r="BD42" s="6"/>
      <c r="BE42" s="6"/>
      <c r="BF42" s="6"/>
      <c r="BG42" s="6"/>
      <c r="BH42" s="6"/>
      <c r="BI42" s="6"/>
      <c r="BJ42" s="6"/>
    </row>
    <row r="44" spans="1:63" x14ac:dyDescent="0.25">
      <c r="BK44" s="3" t="s">
        <v>226</v>
      </c>
    </row>
    <row r="45" spans="1:63" x14ac:dyDescent="0.25">
      <c r="BK45" s="3" t="s">
        <v>227</v>
      </c>
    </row>
    <row r="46" spans="1:63" x14ac:dyDescent="0.25">
      <c r="BK46" s="3" t="s">
        <v>228</v>
      </c>
    </row>
    <row r="47" spans="1:63" x14ac:dyDescent="0.25">
      <c r="BK47" s="3" t="s">
        <v>229</v>
      </c>
    </row>
    <row r="56" spans="59:59" ht="18.75" x14ac:dyDescent="0.25">
      <c r="BG56" s="7"/>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303E9-A95D-45D1-9170-E83F442BF0ED}">
  <dimension ref="A1:AY51"/>
  <sheetViews>
    <sheetView zoomScale="91" zoomScaleNormal="55" workbookViewId="0">
      <selection activeCell="S21" sqref="S21"/>
    </sheetView>
  </sheetViews>
  <sheetFormatPr defaultRowHeight="15" x14ac:dyDescent="0.25"/>
  <sheetData>
    <row r="1" spans="1:51" x14ac:dyDescent="0.25">
      <c r="A1" t="s">
        <v>37</v>
      </c>
      <c r="B1" t="s">
        <v>39</v>
      </c>
      <c r="C1" t="s">
        <v>40</v>
      </c>
      <c r="D1" t="s">
        <v>41</v>
      </c>
      <c r="E1" t="s">
        <v>42</v>
      </c>
      <c r="F1" t="s">
        <v>43</v>
      </c>
      <c r="G1" t="s">
        <v>44</v>
      </c>
      <c r="H1" t="s">
        <v>45</v>
      </c>
      <c r="I1" t="s">
        <v>46</v>
      </c>
      <c r="J1" t="s">
        <v>47</v>
      </c>
      <c r="K1" t="s">
        <v>48</v>
      </c>
      <c r="L1" t="s">
        <v>49</v>
      </c>
      <c r="M1" t="s">
        <v>50</v>
      </c>
      <c r="N1" t="s">
        <v>51</v>
      </c>
      <c r="O1" t="s">
        <v>52</v>
      </c>
      <c r="P1" t="s">
        <v>53</v>
      </c>
      <c r="Q1" t="s">
        <v>54</v>
      </c>
      <c r="R1" t="s">
        <v>55</v>
      </c>
      <c r="S1" t="s">
        <v>56</v>
      </c>
      <c r="T1" t="s">
        <v>57</v>
      </c>
      <c r="U1" t="s">
        <v>58</v>
      </c>
      <c r="V1" t="s">
        <v>59</v>
      </c>
      <c r="W1" t="s">
        <v>60</v>
      </c>
      <c r="X1" t="s">
        <v>61</v>
      </c>
      <c r="Y1" t="s">
        <v>62</v>
      </c>
      <c r="Z1" t="s">
        <v>63</v>
      </c>
      <c r="AA1" t="s">
        <v>64</v>
      </c>
      <c r="AB1" t="s">
        <v>65</v>
      </c>
      <c r="AC1" t="s">
        <v>66</v>
      </c>
      <c r="AD1" t="s">
        <v>67</v>
      </c>
      <c r="AE1" t="s">
        <v>68</v>
      </c>
      <c r="AF1" t="s">
        <v>69</v>
      </c>
      <c r="AG1" t="s">
        <v>70</v>
      </c>
      <c r="AH1" t="s">
        <v>71</v>
      </c>
      <c r="AI1" t="s">
        <v>72</v>
      </c>
      <c r="AJ1" t="s">
        <v>73</v>
      </c>
      <c r="AK1" t="s">
        <v>74</v>
      </c>
      <c r="AL1" t="s">
        <v>75</v>
      </c>
      <c r="AM1" t="s">
        <v>76</v>
      </c>
      <c r="AN1" t="s">
        <v>77</v>
      </c>
      <c r="AO1" t="s">
        <v>78</v>
      </c>
      <c r="AP1" t="s">
        <v>79</v>
      </c>
      <c r="AQ1" t="s">
        <v>80</v>
      </c>
      <c r="AR1" t="s">
        <v>81</v>
      </c>
      <c r="AS1" t="s">
        <v>82</v>
      </c>
      <c r="AT1" t="s">
        <v>83</v>
      </c>
      <c r="AU1" t="s">
        <v>84</v>
      </c>
      <c r="AV1" t="s">
        <v>85</v>
      </c>
      <c r="AW1" t="s">
        <v>86</v>
      </c>
      <c r="AX1" t="s">
        <v>87</v>
      </c>
      <c r="AY1" t="s">
        <v>90</v>
      </c>
    </row>
    <row r="2" spans="1:51" x14ac:dyDescent="0.25">
      <c r="A2" t="s">
        <v>98</v>
      </c>
      <c r="B2">
        <v>3.1895386984196923E-2</v>
      </c>
      <c r="C2" s="4"/>
      <c r="D2" s="4"/>
      <c r="E2" s="4"/>
      <c r="F2" s="4"/>
      <c r="G2" s="4"/>
      <c r="H2" s="4"/>
      <c r="J2" s="4"/>
      <c r="K2" s="4"/>
      <c r="AY2">
        <v>3.1895386984196923E-2</v>
      </c>
    </row>
    <row r="3" spans="1:51" x14ac:dyDescent="0.25">
      <c r="A3" t="s">
        <v>104</v>
      </c>
      <c r="B3" s="4"/>
      <c r="C3">
        <v>1.4104901475399743</v>
      </c>
      <c r="D3" s="4"/>
      <c r="E3" s="4"/>
      <c r="F3" s="4"/>
      <c r="G3" s="4"/>
      <c r="H3" s="4"/>
      <c r="J3" s="4"/>
      <c r="K3" s="4"/>
      <c r="AY3">
        <v>1.4104901475399743</v>
      </c>
    </row>
    <row r="4" spans="1:51" x14ac:dyDescent="0.25">
      <c r="A4" t="s">
        <v>108</v>
      </c>
      <c r="B4" s="4"/>
      <c r="C4" s="4"/>
      <c r="D4">
        <v>0.2533680358123826</v>
      </c>
      <c r="E4" s="4"/>
      <c r="F4" s="4"/>
      <c r="G4" s="4"/>
      <c r="H4" s="4"/>
      <c r="J4" s="4"/>
      <c r="K4" s="4"/>
      <c r="AY4">
        <v>0.2533680358123826</v>
      </c>
    </row>
    <row r="5" spans="1:51" x14ac:dyDescent="0.25">
      <c r="A5" t="s">
        <v>113</v>
      </c>
      <c r="B5" s="5"/>
      <c r="C5" s="5"/>
      <c r="D5" s="5"/>
      <c r="E5">
        <v>0.77903560545199202</v>
      </c>
      <c r="F5">
        <v>0.77903560545199202</v>
      </c>
      <c r="G5">
        <v>0.77903560545199202</v>
      </c>
      <c r="H5">
        <v>0.77903560545199202</v>
      </c>
      <c r="I5">
        <v>0.77903560545199202</v>
      </c>
      <c r="J5" s="5"/>
      <c r="K5" s="5"/>
      <c r="AY5">
        <v>0.77903560545199202</v>
      </c>
    </row>
    <row r="6" spans="1:51" x14ac:dyDescent="0.25">
      <c r="A6" t="s">
        <v>117</v>
      </c>
      <c r="B6" s="4"/>
      <c r="C6" s="4"/>
      <c r="D6" s="4"/>
      <c r="E6">
        <v>1.6059142913802793</v>
      </c>
      <c r="F6">
        <v>1.6059142913802793</v>
      </c>
      <c r="G6">
        <v>1.6059142913802793</v>
      </c>
      <c r="H6">
        <v>1.6059142913802793</v>
      </c>
      <c r="I6">
        <v>1.6059142913802793</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v>1.6059142913802793</v>
      </c>
    </row>
    <row r="7" spans="1:51" x14ac:dyDescent="0.25">
      <c r="A7" t="s">
        <v>120</v>
      </c>
      <c r="B7" s="4"/>
      <c r="C7" s="4"/>
      <c r="D7" s="4"/>
      <c r="E7">
        <v>0.79498329894409048</v>
      </c>
      <c r="F7">
        <v>0.79498329894409048</v>
      </c>
      <c r="G7">
        <v>0.79498329894409048</v>
      </c>
      <c r="H7">
        <v>0.79498329894409048</v>
      </c>
      <c r="I7">
        <v>0.79498329894409048</v>
      </c>
      <c r="J7" s="4"/>
      <c r="K7" s="4"/>
      <c r="AY7">
        <v>0.79498329894409048</v>
      </c>
    </row>
    <row r="8" spans="1:51" x14ac:dyDescent="0.25">
      <c r="A8" t="s">
        <v>123</v>
      </c>
      <c r="B8" s="4"/>
      <c r="C8" s="4"/>
      <c r="D8" s="4"/>
      <c r="E8">
        <v>1.589966597888181</v>
      </c>
      <c r="F8">
        <v>1.589966597888181</v>
      </c>
      <c r="G8">
        <v>1.589966597888181</v>
      </c>
      <c r="H8">
        <v>1.589966597888181</v>
      </c>
      <c r="I8">
        <v>1.589966597888181</v>
      </c>
      <c r="J8" s="4"/>
      <c r="K8" s="4"/>
      <c r="AY8">
        <v>1.589966597888181</v>
      </c>
    </row>
    <row r="9" spans="1:51" x14ac:dyDescent="0.25">
      <c r="A9" t="s">
        <v>126</v>
      </c>
      <c r="B9" s="4"/>
      <c r="C9" s="4"/>
      <c r="D9" s="4"/>
      <c r="E9">
        <v>1.558071210903984</v>
      </c>
      <c r="F9">
        <v>1.558071210903984</v>
      </c>
      <c r="G9">
        <v>1.558071210903984</v>
      </c>
      <c r="H9">
        <v>1.558071210903984</v>
      </c>
      <c r="I9">
        <v>1.558071210903984</v>
      </c>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v>1.558071210903984</v>
      </c>
    </row>
    <row r="10" spans="1:51" x14ac:dyDescent="0.25">
      <c r="A10" t="s">
        <v>129</v>
      </c>
      <c r="B10" s="4"/>
      <c r="C10" s="4"/>
      <c r="D10" s="4"/>
      <c r="E10" s="4"/>
      <c r="F10" s="4"/>
      <c r="G10" s="4"/>
      <c r="H10" s="4"/>
      <c r="I10" s="4"/>
      <c r="J10">
        <v>3.242384532596128</v>
      </c>
      <c r="K10">
        <v>3.242384532596128</v>
      </c>
      <c r="L10">
        <v>3.242384532596128</v>
      </c>
      <c r="M10">
        <v>3.242384532596128</v>
      </c>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v>3.242384532596128</v>
      </c>
    </row>
    <row r="11" spans="1:51" x14ac:dyDescent="0.25">
      <c r="A11" t="s">
        <v>133</v>
      </c>
      <c r="B11" s="4"/>
      <c r="C11" s="4"/>
      <c r="D11" s="4"/>
      <c r="E11" s="4"/>
      <c r="F11" s="4"/>
      <c r="G11" s="4"/>
      <c r="H11" s="4"/>
      <c r="J11">
        <v>11.280231769810763</v>
      </c>
      <c r="K11">
        <v>11.280231769810763</v>
      </c>
      <c r="L11">
        <v>11.280231769810763</v>
      </c>
      <c r="M11">
        <v>11.280231769810763</v>
      </c>
      <c r="AY11">
        <v>11.280231769810763</v>
      </c>
    </row>
    <row r="12" spans="1:51" x14ac:dyDescent="0.25">
      <c r="A12" t="s">
        <v>138</v>
      </c>
      <c r="I12" s="4"/>
      <c r="L12">
        <v>2.2662492922052917</v>
      </c>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v>2.2662492922052917</v>
      </c>
    </row>
    <row r="13" spans="1:51" x14ac:dyDescent="0.25">
      <c r="A13" t="s">
        <v>142</v>
      </c>
      <c r="B13" s="4"/>
      <c r="C13" s="4"/>
      <c r="D13" s="4"/>
      <c r="E13" s="4"/>
      <c r="F13" s="4"/>
      <c r="G13" s="4"/>
      <c r="H13" s="4"/>
      <c r="J13">
        <v>6.484769065192256</v>
      </c>
      <c r="K13">
        <v>6.484769065192256</v>
      </c>
      <c r="L13">
        <v>6.484769065192256</v>
      </c>
      <c r="M13">
        <v>6.484769065192256</v>
      </c>
      <c r="AY13">
        <v>6.484769065192256</v>
      </c>
    </row>
    <row r="14" spans="1:51" x14ac:dyDescent="0.25">
      <c r="A14" t="s">
        <v>145</v>
      </c>
      <c r="N14">
        <v>4.5324985844105834</v>
      </c>
      <c r="AY14">
        <v>4.5324985844105834</v>
      </c>
    </row>
    <row r="15" spans="1:51" x14ac:dyDescent="0.25">
      <c r="A15" s="4" t="s">
        <v>148</v>
      </c>
      <c r="B15" s="4"/>
      <c r="C15" s="4"/>
      <c r="D15" s="4"/>
      <c r="E15" s="4"/>
      <c r="F15" s="4"/>
      <c r="G15" s="4"/>
      <c r="H15" s="4"/>
      <c r="J15" s="4"/>
      <c r="K15" s="4"/>
      <c r="O15">
        <v>2.072750772266486</v>
      </c>
      <c r="P15">
        <v>2.072750772266486</v>
      </c>
      <c r="Q15">
        <v>2.072750772266486</v>
      </c>
      <c r="R15">
        <v>2.072750772266486</v>
      </c>
      <c r="T15">
        <v>2.072750772266486</v>
      </c>
      <c r="U15">
        <v>2.072750772266486</v>
      </c>
      <c r="V15">
        <v>2.072750772266486</v>
      </c>
      <c r="W15">
        <v>2.072750772266486</v>
      </c>
      <c r="AY15">
        <v>2.072750772266486</v>
      </c>
    </row>
    <row r="16" spans="1:51" x14ac:dyDescent="0.25">
      <c r="A16" s="4" t="s">
        <v>152</v>
      </c>
      <c r="B16" s="4"/>
      <c r="C16" s="4"/>
      <c r="D16" s="4"/>
      <c r="E16" s="4"/>
      <c r="F16" s="4"/>
      <c r="G16" s="4"/>
      <c r="H16" s="4"/>
      <c r="J16" s="4"/>
      <c r="K16" s="4"/>
      <c r="O16">
        <v>3.1091261583997292</v>
      </c>
      <c r="P16">
        <v>3.1091261583997292</v>
      </c>
      <c r="Q16">
        <v>3.1091261583997292</v>
      </c>
      <c r="R16">
        <v>3.1091261583997292</v>
      </c>
      <c r="T16">
        <v>3.1091261583997292</v>
      </c>
      <c r="U16">
        <v>3.1091261583997292</v>
      </c>
      <c r="V16">
        <v>3.1091261583997292</v>
      </c>
      <c r="W16">
        <v>3.1091261583997292</v>
      </c>
      <c r="AY16">
        <v>3.1091261583997292</v>
      </c>
    </row>
    <row r="17" spans="1:51" x14ac:dyDescent="0.25">
      <c r="A17" s="4" t="s">
        <v>155</v>
      </c>
      <c r="B17" s="4"/>
      <c r="C17" s="4"/>
      <c r="D17" s="4"/>
      <c r="E17" s="4"/>
      <c r="F17" s="4"/>
      <c r="G17" s="4"/>
      <c r="H17" s="4"/>
      <c r="J17" s="4"/>
      <c r="K17" s="4"/>
      <c r="O17">
        <v>4.1455015445329719</v>
      </c>
      <c r="P17">
        <v>4.1455015445329719</v>
      </c>
      <c r="Q17">
        <v>4.1455015445329719</v>
      </c>
      <c r="R17">
        <v>4.1455015445329719</v>
      </c>
      <c r="T17">
        <v>4.1455015445329719</v>
      </c>
      <c r="U17">
        <v>4.1455015445329719</v>
      </c>
      <c r="V17">
        <v>4.1455015445329719</v>
      </c>
      <c r="W17">
        <v>4.1455015445329719</v>
      </c>
      <c r="AY17">
        <v>4.1455015445329719</v>
      </c>
    </row>
    <row r="18" spans="1:51" x14ac:dyDescent="0.25">
      <c r="A18" s="4" t="s">
        <v>158</v>
      </c>
      <c r="B18" s="4"/>
      <c r="C18" s="4"/>
      <c r="D18" s="4"/>
      <c r="E18" s="4"/>
      <c r="F18" s="4"/>
      <c r="G18" s="4"/>
      <c r="H18" s="4"/>
      <c r="J18" s="4"/>
      <c r="K18" s="4"/>
      <c r="O18">
        <v>6.2182523167994601</v>
      </c>
      <c r="P18">
        <v>6.2182523167994601</v>
      </c>
      <c r="Q18">
        <v>6.2182523167994601</v>
      </c>
      <c r="R18">
        <v>6.2182523167994601</v>
      </c>
      <c r="T18">
        <v>6.2182523167994601</v>
      </c>
      <c r="U18">
        <v>6.2182523167994601</v>
      </c>
      <c r="V18">
        <v>6.2182523167994601</v>
      </c>
      <c r="W18">
        <v>6.2182523167994601</v>
      </c>
      <c r="AY18">
        <v>6.2182523167994601</v>
      </c>
    </row>
    <row r="19" spans="1:51" x14ac:dyDescent="0.25">
      <c r="A19" s="4" t="s">
        <v>161</v>
      </c>
      <c r="B19" s="4"/>
      <c r="C19" s="4"/>
      <c r="D19" s="4"/>
      <c r="E19" s="4"/>
      <c r="F19" s="4"/>
      <c r="G19" s="4"/>
      <c r="H19" s="4"/>
      <c r="J19" s="4"/>
      <c r="K19" s="4"/>
      <c r="S19">
        <v>0.58548575147369764</v>
      </c>
      <c r="AY19">
        <v>0.58548575147369764</v>
      </c>
    </row>
    <row r="20" spans="1:51" x14ac:dyDescent="0.25">
      <c r="A20" s="4" t="s">
        <v>165</v>
      </c>
      <c r="B20" s="4"/>
      <c r="C20" s="4"/>
      <c r="D20" s="4"/>
      <c r="E20" s="4"/>
      <c r="F20" s="4"/>
      <c r="G20" s="4"/>
      <c r="H20" s="4"/>
      <c r="J20" s="4"/>
      <c r="K20" s="4"/>
      <c r="X20">
        <v>1.1079750777636181</v>
      </c>
      <c r="Y20">
        <v>1.1079750777636181</v>
      </c>
      <c r="AY20">
        <v>1.1079750777636181</v>
      </c>
    </row>
    <row r="21" spans="1:51" x14ac:dyDescent="0.25">
      <c r="A21" s="4" t="s">
        <v>169</v>
      </c>
      <c r="B21" s="4"/>
      <c r="C21" s="4"/>
      <c r="D21" s="4"/>
      <c r="E21" s="4"/>
      <c r="F21" s="4"/>
      <c r="G21" s="4"/>
      <c r="H21" s="4"/>
      <c r="I21" s="4"/>
      <c r="J21" s="4"/>
      <c r="K21" s="4"/>
      <c r="L21" s="4"/>
      <c r="M21" s="4"/>
      <c r="N21" s="4"/>
      <c r="O21" s="4"/>
      <c r="P21" s="4"/>
      <c r="Q21" s="4"/>
      <c r="R21" s="4"/>
      <c r="S21" s="4"/>
      <c r="T21" s="4"/>
      <c r="U21" s="4"/>
      <c r="V21" s="4"/>
      <c r="W21" s="4"/>
      <c r="X21">
        <v>3.3239252332908547</v>
      </c>
      <c r="Y21">
        <v>3.3239252332908547</v>
      </c>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v>3.3239252332908547</v>
      </c>
    </row>
    <row r="22" spans="1:51" x14ac:dyDescent="0.25">
      <c r="A22" s="4" t="s">
        <v>172</v>
      </c>
      <c r="B22" s="4"/>
      <c r="C22" s="4"/>
      <c r="D22" s="4"/>
      <c r="E22" s="4"/>
      <c r="F22" s="4"/>
      <c r="G22" s="4"/>
      <c r="H22" s="4"/>
      <c r="J22" s="4"/>
      <c r="K22" s="4"/>
      <c r="Z22">
        <v>2.1437785944055721</v>
      </c>
      <c r="AA22">
        <v>2.1437785944055721</v>
      </c>
      <c r="AC22">
        <v>2.1437785944055721</v>
      </c>
      <c r="AD22">
        <v>2.1437785944055721</v>
      </c>
      <c r="AF22">
        <v>2.1437785944055721</v>
      </c>
      <c r="AG22">
        <v>2.1437785944055721</v>
      </c>
      <c r="AH22">
        <v>2.1437785944055721</v>
      </c>
      <c r="AI22">
        <v>2.1437785944055721</v>
      </c>
      <c r="AJ22">
        <v>2.1437785944055721</v>
      </c>
      <c r="AK22">
        <v>2.1437785944055721</v>
      </c>
      <c r="AL22">
        <v>2.1437785944055721</v>
      </c>
      <c r="AY22">
        <v>2.1437785944055721</v>
      </c>
    </row>
    <row r="23" spans="1:51" x14ac:dyDescent="0.25">
      <c r="A23" s="4" t="s">
        <v>176</v>
      </c>
      <c r="B23" s="4"/>
      <c r="C23" s="4"/>
      <c r="D23" s="4"/>
      <c r="E23" s="4"/>
      <c r="F23" s="4"/>
      <c r="G23" s="4"/>
      <c r="H23" s="4"/>
      <c r="J23" s="4"/>
      <c r="K23" s="4"/>
      <c r="Z23">
        <v>4.2875571888111441</v>
      </c>
      <c r="AA23">
        <v>4.2875571888111441</v>
      </c>
      <c r="AC23">
        <v>4.2875571888111441</v>
      </c>
      <c r="AD23">
        <v>4.2875571888111441</v>
      </c>
      <c r="AF23">
        <v>4.2875571888111441</v>
      </c>
      <c r="AG23">
        <v>4.2875571888111441</v>
      </c>
      <c r="AH23">
        <v>4.2875571888111441</v>
      </c>
      <c r="AI23">
        <v>4.2875571888111441</v>
      </c>
      <c r="AJ23">
        <v>4.2875571888111441</v>
      </c>
      <c r="AK23">
        <v>4.2875571888111441</v>
      </c>
      <c r="AL23">
        <v>4.2875571888111441</v>
      </c>
      <c r="AY23">
        <v>4.2875571888111441</v>
      </c>
    </row>
    <row r="24" spans="1:51" x14ac:dyDescent="0.25">
      <c r="A24" s="4" t="s">
        <v>179</v>
      </c>
      <c r="B24" s="4"/>
      <c r="C24" s="4"/>
      <c r="D24" s="4"/>
      <c r="E24" s="4"/>
      <c r="F24" s="4"/>
      <c r="G24" s="4"/>
      <c r="H24" s="4"/>
      <c r="J24" s="4"/>
      <c r="K24" s="4"/>
      <c r="AB24">
        <v>4.2875571888111441</v>
      </c>
      <c r="AE24">
        <v>4.2875571888111441</v>
      </c>
      <c r="AY24">
        <v>4.2875571888111441</v>
      </c>
    </row>
    <row r="25" spans="1:51" x14ac:dyDescent="0.25">
      <c r="A25" s="4" t="s">
        <v>183</v>
      </c>
      <c r="B25" s="4"/>
      <c r="C25" s="4"/>
      <c r="D25" s="4"/>
      <c r="E25" s="4"/>
      <c r="F25" s="4"/>
      <c r="G25" s="4"/>
      <c r="H25" s="4"/>
      <c r="J25" s="4"/>
      <c r="K25" s="4"/>
      <c r="Z25">
        <v>6.4313357832167153</v>
      </c>
      <c r="AA25">
        <v>6.4313357832167153</v>
      </c>
      <c r="AC25">
        <v>6.4313357832167153</v>
      </c>
      <c r="AD25">
        <v>6.4313357832167153</v>
      </c>
      <c r="AF25">
        <v>6.4313357832167153</v>
      </c>
      <c r="AG25">
        <v>6.4313357832167153</v>
      </c>
      <c r="AH25">
        <v>6.4313357832167153</v>
      </c>
      <c r="AI25">
        <v>6.4313357832167153</v>
      </c>
      <c r="AJ25">
        <v>6.4313357832167153</v>
      </c>
      <c r="AK25">
        <v>6.4313357832167153</v>
      </c>
      <c r="AL25">
        <v>6.4313357832167153</v>
      </c>
      <c r="AY25">
        <v>6.4313357832167153</v>
      </c>
    </row>
    <row r="26" spans="1:51" x14ac:dyDescent="0.25">
      <c r="A26" s="4" t="s">
        <v>186</v>
      </c>
      <c r="B26" s="4"/>
      <c r="C26" s="4"/>
      <c r="D26" s="4"/>
      <c r="E26" s="4"/>
      <c r="F26" s="4"/>
      <c r="G26" s="4"/>
      <c r="H26" s="4"/>
      <c r="J26" s="4"/>
      <c r="K26" s="4"/>
      <c r="Z26">
        <v>8.5751143776222882</v>
      </c>
      <c r="AA26">
        <v>8.5751143776222882</v>
      </c>
      <c r="AC26">
        <v>8.5751143776222882</v>
      </c>
      <c r="AD26">
        <v>8.5751143776222882</v>
      </c>
      <c r="AF26">
        <v>8.5751143776222882</v>
      </c>
      <c r="AG26">
        <v>8.5751143776222882</v>
      </c>
      <c r="AH26">
        <v>8.5751143776222882</v>
      </c>
      <c r="AI26">
        <v>8.5751143776222882</v>
      </c>
      <c r="AJ26">
        <v>8.5751143776222882</v>
      </c>
      <c r="AK26">
        <v>8.5751143776222882</v>
      </c>
      <c r="AL26">
        <v>8.5751143776222882</v>
      </c>
      <c r="AY26">
        <v>8.5751143776222882</v>
      </c>
    </row>
    <row r="27" spans="1:51" x14ac:dyDescent="0.25">
      <c r="A27" s="4" t="s">
        <v>189</v>
      </c>
      <c r="B27" s="4"/>
      <c r="C27" s="4"/>
      <c r="D27" s="4"/>
      <c r="E27" s="4"/>
      <c r="F27" s="4"/>
      <c r="G27" s="4"/>
      <c r="H27" s="4"/>
      <c r="J27" s="4"/>
      <c r="K27" s="4"/>
      <c r="Z27">
        <v>10.718892972027859</v>
      </c>
      <c r="AA27">
        <v>10.718892972027859</v>
      </c>
      <c r="AC27">
        <v>10.718892972027859</v>
      </c>
      <c r="AD27">
        <v>10.718892972027859</v>
      </c>
      <c r="AF27">
        <v>10.718892972027859</v>
      </c>
      <c r="AG27">
        <v>10.718892972027859</v>
      </c>
      <c r="AH27">
        <v>10.718892972027859</v>
      </c>
      <c r="AI27">
        <v>10.718892972027859</v>
      </c>
      <c r="AJ27">
        <v>10.718892972027859</v>
      </c>
      <c r="AK27">
        <v>10.718892972027859</v>
      </c>
      <c r="AL27">
        <v>10.718892972027859</v>
      </c>
      <c r="AY27">
        <v>10.718892972027859</v>
      </c>
    </row>
    <row r="28" spans="1:51" x14ac:dyDescent="0.25">
      <c r="A28" s="4" t="s">
        <v>192</v>
      </c>
      <c r="AB28">
        <v>1.5132554784039332</v>
      </c>
      <c r="AE28">
        <v>1.5132554784039332</v>
      </c>
      <c r="AY28">
        <v>1.5132554784039332</v>
      </c>
    </row>
    <row r="29" spans="1:51" x14ac:dyDescent="0.25">
      <c r="A29" s="4" t="s">
        <v>196</v>
      </c>
      <c r="I29" s="4"/>
      <c r="L29" s="4"/>
      <c r="M29" s="4"/>
      <c r="N29" s="4"/>
      <c r="O29" s="4"/>
      <c r="P29" s="4"/>
      <c r="Q29" s="4"/>
      <c r="R29" s="4"/>
      <c r="S29" s="4"/>
      <c r="T29" s="4"/>
      <c r="U29" s="4"/>
      <c r="V29" s="4"/>
      <c r="W29" s="4"/>
      <c r="X29" s="4"/>
      <c r="Y29" s="4"/>
      <c r="Z29" s="4"/>
      <c r="AA29" s="4"/>
      <c r="AB29">
        <v>3.0265109568078663</v>
      </c>
      <c r="AE29">
        <v>3.0265109568078663</v>
      </c>
      <c r="AF29" s="4"/>
      <c r="AG29" s="4"/>
      <c r="AH29" s="4"/>
      <c r="AI29" s="4"/>
      <c r="AJ29" s="4"/>
      <c r="AK29" s="4"/>
      <c r="AL29" s="4"/>
      <c r="AM29" s="4"/>
      <c r="AN29" s="4"/>
      <c r="AO29" s="4"/>
      <c r="AP29" s="4"/>
      <c r="AQ29" s="4"/>
      <c r="AR29" s="4"/>
      <c r="AS29" s="4"/>
      <c r="AT29" s="4"/>
      <c r="AU29" s="4"/>
      <c r="AV29" s="4"/>
      <c r="AW29" s="4"/>
      <c r="AX29" s="4"/>
      <c r="AY29">
        <v>3.0265109568078663</v>
      </c>
    </row>
    <row r="30" spans="1:51" x14ac:dyDescent="0.25">
      <c r="A30" s="4" t="s">
        <v>199</v>
      </c>
      <c r="I30" s="4"/>
      <c r="L30" s="4"/>
      <c r="M30" s="4"/>
      <c r="N30" s="4"/>
      <c r="O30" s="4"/>
      <c r="P30" s="4"/>
      <c r="Q30" s="4"/>
      <c r="R30" s="4"/>
      <c r="S30" s="4"/>
      <c r="T30" s="4"/>
      <c r="U30" s="4"/>
      <c r="V30" s="4"/>
      <c r="W30" s="4"/>
      <c r="X30" s="4"/>
      <c r="Y30" s="4"/>
      <c r="Z30" s="4"/>
      <c r="AA30" s="4"/>
      <c r="AB30">
        <v>3.0265109568078663</v>
      </c>
      <c r="AE30">
        <v>3.0265109568078663</v>
      </c>
      <c r="AF30" s="4"/>
      <c r="AG30" s="4"/>
      <c r="AH30" s="4"/>
      <c r="AI30" s="4"/>
      <c r="AJ30" s="4"/>
      <c r="AK30" s="4"/>
      <c r="AL30" s="4"/>
      <c r="AM30" s="4"/>
      <c r="AN30" s="4"/>
      <c r="AO30" s="4"/>
      <c r="AP30" s="4"/>
      <c r="AQ30" s="4"/>
      <c r="AR30" s="4"/>
      <c r="AS30" s="4"/>
      <c r="AT30" s="4"/>
      <c r="AU30" s="4"/>
      <c r="AV30" s="4"/>
      <c r="AW30" s="4"/>
      <c r="AX30" s="4"/>
      <c r="AY30">
        <v>3.0265109568078663</v>
      </c>
    </row>
    <row r="31" spans="1:51" x14ac:dyDescent="0.25">
      <c r="A31" s="4" t="s">
        <v>202</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v>10.36375386133243</v>
      </c>
      <c r="AM31" s="4"/>
      <c r="AN31" s="4"/>
      <c r="AO31" s="4"/>
      <c r="AP31" s="4"/>
      <c r="AQ31" s="4"/>
      <c r="AR31" s="4"/>
      <c r="AS31" s="4"/>
      <c r="AT31" s="4"/>
      <c r="AU31" s="4"/>
      <c r="AV31" s="4"/>
      <c r="AW31" s="4"/>
      <c r="AX31" s="4"/>
      <c r="AY31">
        <v>10.36375386133243</v>
      </c>
    </row>
    <row r="32" spans="1:51" x14ac:dyDescent="0.25">
      <c r="A32" s="4" t="s">
        <v>205</v>
      </c>
      <c r="AM32">
        <v>0.53500201654297042</v>
      </c>
      <c r="AN32">
        <v>0.53500201654297042</v>
      </c>
      <c r="AO32">
        <v>0.53500201654297042</v>
      </c>
      <c r="AY32">
        <v>0.53500201654297042</v>
      </c>
    </row>
    <row r="33" spans="1:51" x14ac:dyDescent="0.25">
      <c r="A33" s="4" t="s">
        <v>209</v>
      </c>
      <c r="I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v>1.0700040330859408</v>
      </c>
      <c r="AN33">
        <v>1.0700040330859408</v>
      </c>
      <c r="AO33">
        <v>1.0700040330859408</v>
      </c>
      <c r="AT33" s="4"/>
      <c r="AU33" s="4"/>
      <c r="AV33" s="4"/>
      <c r="AW33" s="4"/>
      <c r="AX33" s="4"/>
      <c r="AY33">
        <v>1.0700040330859408</v>
      </c>
    </row>
    <row r="34" spans="1:51" x14ac:dyDescent="0.25">
      <c r="A34" s="4" t="s">
        <v>212</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v>1.6050060496289116</v>
      </c>
      <c r="AN34">
        <v>1.6050060496289116</v>
      </c>
      <c r="AO34">
        <v>1.6050060496289116</v>
      </c>
      <c r="AT34" s="4"/>
      <c r="AU34" s="4"/>
      <c r="AV34" s="4"/>
      <c r="AW34" s="4"/>
      <c r="AX34" s="4"/>
      <c r="AY34">
        <v>1.6050060496289116</v>
      </c>
    </row>
    <row r="35" spans="1:51" x14ac:dyDescent="0.25">
      <c r="A35" s="4" t="s">
        <v>215</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v>-1.979499671095893</v>
      </c>
      <c r="AQ35">
        <v>-1.979499671095893</v>
      </c>
      <c r="AR35">
        <v>-1.979499671095893</v>
      </c>
      <c r="AS35" s="4"/>
      <c r="AT35" s="4"/>
      <c r="AU35" s="4"/>
      <c r="AV35" s="4"/>
      <c r="AW35" s="4"/>
      <c r="AX35" s="4"/>
      <c r="AY35">
        <v>-1.979499671095893</v>
      </c>
    </row>
    <row r="36" spans="1:51" x14ac:dyDescent="0.25">
      <c r="A36" s="4" t="s">
        <v>219</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v>-0.98974983554794649</v>
      </c>
      <c r="AQ36">
        <v>-0.98974983554794649</v>
      </c>
      <c r="AR36">
        <v>-0.98974983554794649</v>
      </c>
      <c r="AS36" s="4"/>
      <c r="AT36" s="4"/>
      <c r="AU36" s="4"/>
      <c r="AV36" s="4"/>
      <c r="AW36" s="4"/>
      <c r="AX36" s="4"/>
      <c r="AY36">
        <v>-0.98974983554794649</v>
      </c>
    </row>
    <row r="37" spans="1:51" x14ac:dyDescent="0.25">
      <c r="A37" s="4" t="s">
        <v>222</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v>9.2185903299959487E-2</v>
      </c>
      <c r="AT37" s="4"/>
      <c r="AU37" s="4"/>
      <c r="AV37" s="4"/>
      <c r="AW37" s="4"/>
      <c r="AX37" s="4"/>
      <c r="AY37">
        <v>9.2185903299959487E-2</v>
      </c>
    </row>
    <row r="38" spans="1:51" x14ac:dyDescent="0.25">
      <c r="B38" s="4"/>
      <c r="C38" s="4"/>
      <c r="D38" s="4"/>
      <c r="E38" s="4"/>
      <c r="F38" s="4"/>
      <c r="G38" s="4"/>
      <c r="H38" s="4"/>
      <c r="J38" s="4"/>
      <c r="K38" s="4"/>
    </row>
    <row r="39" spans="1:51" x14ac:dyDescent="0.25">
      <c r="B39" s="4"/>
      <c r="C39" s="4"/>
      <c r="D39" s="4"/>
      <c r="E39" s="4"/>
      <c r="F39" s="4"/>
      <c r="G39" s="4"/>
      <c r="H39" s="4"/>
      <c r="J39" s="4"/>
      <c r="K39" s="4"/>
    </row>
    <row r="40" spans="1:51" x14ac:dyDescent="0.25">
      <c r="E40" s="4"/>
      <c r="H40" s="4"/>
      <c r="I40" s="4"/>
      <c r="K40" s="4"/>
      <c r="T40" s="4"/>
      <c r="AB40" s="4"/>
      <c r="AC40" s="4"/>
      <c r="AD40" s="4"/>
      <c r="AH40" s="4"/>
      <c r="AI40" s="4"/>
      <c r="AJ40" s="4"/>
      <c r="AM40" s="4"/>
      <c r="AN40" s="4"/>
    </row>
    <row r="41" spans="1:51" x14ac:dyDescent="0.25">
      <c r="E41" s="4"/>
      <c r="H41" s="4"/>
      <c r="I41" s="4"/>
      <c r="K41" s="4"/>
      <c r="T41" s="4"/>
      <c r="AB41" s="4"/>
      <c r="AC41" s="4"/>
      <c r="AD41" s="4"/>
      <c r="AH41" s="4"/>
      <c r="AI41" s="4"/>
      <c r="AJ41" s="4"/>
      <c r="AM41" s="4"/>
      <c r="AN41" s="4"/>
    </row>
    <row r="42" spans="1:51" x14ac:dyDescent="0.25">
      <c r="E42" s="4"/>
      <c r="H42" s="4"/>
      <c r="I42" s="4"/>
      <c r="K42" s="4"/>
      <c r="T42" s="4"/>
      <c r="AB42" s="4"/>
      <c r="AC42" s="4"/>
      <c r="AD42" s="4"/>
      <c r="AH42" s="4"/>
      <c r="AI42" s="4"/>
      <c r="AJ42" s="4"/>
      <c r="AM42" s="4"/>
      <c r="AN42" s="4"/>
    </row>
    <row r="43" spans="1:51" x14ac:dyDescent="0.25">
      <c r="E43" s="4"/>
      <c r="H43" s="4"/>
      <c r="I43" s="4"/>
      <c r="K43" s="4"/>
      <c r="T43" s="4"/>
      <c r="AB43" s="4"/>
      <c r="AC43" s="4"/>
      <c r="AD43" s="4"/>
      <c r="AJ43" s="4"/>
      <c r="AM43" s="4"/>
      <c r="AN43" s="4"/>
    </row>
    <row r="44" spans="1:51" x14ac:dyDescent="0.25">
      <c r="E44" s="4"/>
      <c r="H44" s="4"/>
      <c r="I44" s="4"/>
      <c r="K44" s="4"/>
      <c r="T44" s="4"/>
      <c r="AB44" s="4"/>
      <c r="AC44" s="4"/>
      <c r="AD44" s="4"/>
      <c r="AJ44" s="4"/>
      <c r="AM44" s="4"/>
      <c r="AN44" s="4"/>
    </row>
    <row r="45" spans="1:51" x14ac:dyDescent="0.25">
      <c r="E45" s="4"/>
      <c r="H45" s="4"/>
      <c r="I45" s="4"/>
      <c r="K45" s="4"/>
      <c r="T45" s="4"/>
      <c r="AB45" s="4"/>
      <c r="AC45" s="4"/>
      <c r="AD45" s="4"/>
      <c r="AJ45" s="4"/>
      <c r="AM45" s="4"/>
      <c r="AN45" s="4"/>
    </row>
    <row r="46" spans="1:51" x14ac:dyDescent="0.25">
      <c r="E46" s="4"/>
      <c r="H46" s="4"/>
      <c r="I46" s="4"/>
      <c r="K46" s="4"/>
      <c r="T46" s="4"/>
      <c r="AB46" s="4"/>
      <c r="AC46" s="4"/>
      <c r="AD46" s="4"/>
      <c r="AH46" s="4"/>
      <c r="AI46" s="4"/>
      <c r="AJ46" s="4"/>
      <c r="AM46" s="4"/>
      <c r="AN46" s="4"/>
    </row>
    <row r="47" spans="1:51" x14ac:dyDescent="0.25">
      <c r="E47" s="4"/>
      <c r="H47" s="4"/>
      <c r="I47" s="4"/>
      <c r="K47" s="4"/>
      <c r="T47" s="4"/>
      <c r="AB47" s="4"/>
      <c r="AC47" s="4"/>
      <c r="AD47" s="4"/>
      <c r="AF47" s="4"/>
      <c r="AG47" s="4"/>
      <c r="AH47" s="4"/>
      <c r="AI47" s="4"/>
      <c r="AJ47" s="4"/>
      <c r="AM47" s="4"/>
      <c r="AN47" s="4"/>
    </row>
    <row r="48" spans="1:51" x14ac:dyDescent="0.25">
      <c r="E48" s="4"/>
      <c r="H48" s="4"/>
      <c r="I48" s="4"/>
      <c r="K48" s="4"/>
      <c r="T48" s="4"/>
      <c r="AB48" s="4"/>
      <c r="AC48" s="4"/>
      <c r="AD48" s="4"/>
      <c r="AF48" s="4"/>
      <c r="AG48" s="4"/>
      <c r="AH48" s="4"/>
      <c r="AI48" s="4"/>
      <c r="AJ48" s="4"/>
      <c r="AM48" s="4"/>
      <c r="AN48" s="4"/>
    </row>
    <row r="49" spans="5:40" x14ac:dyDescent="0.25">
      <c r="E49" s="4"/>
      <c r="H49" s="4"/>
      <c r="I49" s="4"/>
      <c r="K49" s="4"/>
      <c r="T49" s="4"/>
      <c r="AB49" s="4"/>
      <c r="AC49" s="4"/>
      <c r="AD49" s="4"/>
      <c r="AF49" s="4"/>
      <c r="AG49" s="4"/>
      <c r="AH49" s="4"/>
      <c r="AI49" s="4"/>
      <c r="AJ49" s="4"/>
      <c r="AM49" s="4"/>
      <c r="AN49" s="4"/>
    </row>
    <row r="50" spans="5:40" x14ac:dyDescent="0.25">
      <c r="E50" s="4"/>
      <c r="H50" s="4"/>
      <c r="I50" s="4"/>
      <c r="K50" s="4"/>
      <c r="T50" s="4"/>
      <c r="AB50" s="4"/>
      <c r="AC50" s="4"/>
      <c r="AD50" s="4"/>
      <c r="AF50" s="4"/>
      <c r="AG50" s="4"/>
      <c r="AH50" s="4"/>
      <c r="AI50" s="4"/>
      <c r="AJ50" s="4"/>
      <c r="AM50" s="4"/>
      <c r="AN50" s="4"/>
    </row>
    <row r="51" spans="5:40" x14ac:dyDescent="0.25">
      <c r="E51" s="4"/>
      <c r="H51" s="4"/>
      <c r="I51" s="4"/>
      <c r="K51" s="4"/>
      <c r="T51" s="4"/>
      <c r="AB51" s="4"/>
      <c r="AC51" s="4"/>
      <c r="AD51" s="4"/>
      <c r="AF51" s="4"/>
      <c r="AG51" s="4"/>
      <c r="AH51" s="4"/>
      <c r="AI51" s="4"/>
      <c r="AJ51" s="4"/>
      <c r="AM51" s="4"/>
      <c r="AN5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
  <sheetViews>
    <sheetView zoomScale="62" zoomScaleNormal="130" workbookViewId="0">
      <selection activeCell="C6" sqref="C6"/>
    </sheetView>
  </sheetViews>
  <sheetFormatPr defaultColWidth="11.42578125" defaultRowHeight="15" x14ac:dyDescent="0.25"/>
  <cols>
    <col min="1" max="1" width="37" bestFit="1" customWidth="1"/>
    <col min="2" max="2" width="75.28515625" customWidth="1"/>
    <col min="3" max="3" width="160.140625" bestFit="1" customWidth="1"/>
  </cols>
  <sheetData>
    <row r="1" spans="1:3" x14ac:dyDescent="0.25">
      <c r="A1" t="s">
        <v>0</v>
      </c>
      <c r="B1" t="s">
        <v>230</v>
      </c>
      <c r="C1" t="s">
        <v>231</v>
      </c>
    </row>
    <row r="2" spans="1:3" x14ac:dyDescent="0.25">
      <c r="A2" t="s">
        <v>232</v>
      </c>
      <c r="B2" t="s">
        <v>233</v>
      </c>
      <c r="C2" t="s">
        <v>234</v>
      </c>
    </row>
    <row r="3" spans="1:3" x14ac:dyDescent="0.25">
      <c r="C3" t="s">
        <v>235</v>
      </c>
    </row>
    <row r="4" spans="1:3" x14ac:dyDescent="0.25">
      <c r="C4" t="s">
        <v>236</v>
      </c>
    </row>
    <row r="5" spans="1:3" x14ac:dyDescent="0.25">
      <c r="B5" t="s">
        <v>237</v>
      </c>
      <c r="C5" t="s">
        <v>238</v>
      </c>
    </row>
    <row r="6" spans="1:3" ht="45" x14ac:dyDescent="0.25">
      <c r="C6" s="4" t="s">
        <v>239</v>
      </c>
    </row>
    <row r="7" spans="1:3" ht="30" x14ac:dyDescent="0.25">
      <c r="C7" s="4" t="s">
        <v>240</v>
      </c>
    </row>
    <row r="8" spans="1:3" x14ac:dyDescent="0.25">
      <c r="C8" t="s">
        <v>241</v>
      </c>
    </row>
    <row r="9" spans="1:3" ht="30" x14ac:dyDescent="0.25">
      <c r="C9" s="4" t="s">
        <v>242</v>
      </c>
    </row>
    <row r="10" spans="1:3" ht="30" x14ac:dyDescent="0.25">
      <c r="B10" t="s">
        <v>243</v>
      </c>
      <c r="C10" s="4" t="s">
        <v>244</v>
      </c>
    </row>
    <row r="11" spans="1:3" x14ac:dyDescent="0.25">
      <c r="C11" t="s">
        <v>245</v>
      </c>
    </row>
    <row r="12" spans="1:3" ht="30" x14ac:dyDescent="0.25">
      <c r="C12" s="4" t="s">
        <v>246</v>
      </c>
    </row>
    <row r="13" spans="1:3" x14ac:dyDescent="0.25">
      <c r="C13" t="s">
        <v>247</v>
      </c>
    </row>
    <row r="14" spans="1:3" x14ac:dyDescent="0.25">
      <c r="C14" t="s">
        <v>248</v>
      </c>
    </row>
    <row r="15" spans="1:3" ht="30" x14ac:dyDescent="0.25">
      <c r="A15" t="s">
        <v>249</v>
      </c>
      <c r="B15" s="4" t="s">
        <v>250</v>
      </c>
      <c r="C15" t="s">
        <v>251</v>
      </c>
    </row>
    <row r="16" spans="1:3" x14ac:dyDescent="0.25">
      <c r="B16" s="4"/>
      <c r="C16" t="s">
        <v>252</v>
      </c>
    </row>
    <row r="17" spans="1:3" x14ac:dyDescent="0.25">
      <c r="B17" s="4"/>
      <c r="C17" t="s">
        <v>253</v>
      </c>
    </row>
    <row r="18" spans="1:3" x14ac:dyDescent="0.25">
      <c r="B18" s="4"/>
      <c r="C18" t="s">
        <v>254</v>
      </c>
    </row>
    <row r="19" spans="1:3" x14ac:dyDescent="0.25">
      <c r="B19" s="4"/>
      <c r="C19" t="s">
        <v>255</v>
      </c>
    </row>
    <row r="20" spans="1:3" ht="30" x14ac:dyDescent="0.25">
      <c r="B20" s="4" t="s">
        <v>256</v>
      </c>
      <c r="C20" s="4" t="s">
        <v>257</v>
      </c>
    </row>
    <row r="21" spans="1:3" x14ac:dyDescent="0.25">
      <c r="B21" s="4"/>
      <c r="C21" t="s">
        <v>258</v>
      </c>
    </row>
    <row r="22" spans="1:3" ht="30" x14ac:dyDescent="0.25">
      <c r="B22" s="4"/>
      <c r="C22" s="4" t="s">
        <v>259</v>
      </c>
    </row>
    <row r="23" spans="1:3" x14ac:dyDescent="0.25">
      <c r="B23" s="4"/>
      <c r="C23" t="s">
        <v>260</v>
      </c>
    </row>
    <row r="24" spans="1:3" x14ac:dyDescent="0.25">
      <c r="B24" t="s">
        <v>261</v>
      </c>
      <c r="C24" t="s">
        <v>262</v>
      </c>
    </row>
    <row r="25" spans="1:3" ht="30" x14ac:dyDescent="0.25">
      <c r="C25" s="4" t="s">
        <v>263</v>
      </c>
    </row>
    <row r="26" spans="1:3" x14ac:dyDescent="0.25">
      <c r="A26" t="s">
        <v>264</v>
      </c>
      <c r="B26" s="4" t="s">
        <v>265</v>
      </c>
      <c r="C26" t="s">
        <v>266</v>
      </c>
    </row>
    <row r="27" spans="1:3" x14ac:dyDescent="0.25">
      <c r="B27" s="4"/>
      <c r="C27" t="s">
        <v>267</v>
      </c>
    </row>
    <row r="28" spans="1:3" x14ac:dyDescent="0.25">
      <c r="B28" s="4"/>
      <c r="C28" t="s">
        <v>268</v>
      </c>
    </row>
    <row r="29" spans="1:3" x14ac:dyDescent="0.25">
      <c r="B29" s="4"/>
      <c r="C29" t="s">
        <v>269</v>
      </c>
    </row>
    <row r="30" spans="1:3" x14ac:dyDescent="0.25">
      <c r="B30" s="4"/>
      <c r="C30" t="s">
        <v>270</v>
      </c>
    </row>
    <row r="31" spans="1:3" x14ac:dyDescent="0.25">
      <c r="B31" s="4"/>
      <c r="C31" t="s">
        <v>271</v>
      </c>
    </row>
    <row r="32" spans="1:3" x14ac:dyDescent="0.25">
      <c r="B32" t="s">
        <v>272</v>
      </c>
      <c r="C32" t="s">
        <v>273</v>
      </c>
    </row>
    <row r="33" spans="1:3" x14ac:dyDescent="0.25">
      <c r="C33" t="s">
        <v>274</v>
      </c>
    </row>
    <row r="34" spans="1:3" x14ac:dyDescent="0.25">
      <c r="C34" t="s">
        <v>275</v>
      </c>
    </row>
    <row r="35" spans="1:3" x14ac:dyDescent="0.25">
      <c r="B35" t="s">
        <v>276</v>
      </c>
      <c r="C35" t="s">
        <v>277</v>
      </c>
    </row>
    <row r="36" spans="1:3" ht="30" x14ac:dyDescent="0.25">
      <c r="C36" s="4" t="s">
        <v>278</v>
      </c>
    </row>
    <row r="37" spans="1:3" ht="30" x14ac:dyDescent="0.25">
      <c r="C37" s="4" t="s">
        <v>279</v>
      </c>
    </row>
    <row r="38" spans="1:3" ht="60" x14ac:dyDescent="0.25">
      <c r="C38" s="4" t="s">
        <v>280</v>
      </c>
    </row>
    <row r="39" spans="1:3" x14ac:dyDescent="0.25">
      <c r="A39" t="s">
        <v>281</v>
      </c>
      <c r="B39" t="s">
        <v>282</v>
      </c>
      <c r="C39" t="s">
        <v>283</v>
      </c>
    </row>
    <row r="40" spans="1:3" ht="30" x14ac:dyDescent="0.25">
      <c r="B40" t="s">
        <v>284</v>
      </c>
      <c r="C40" s="4" t="s">
        <v>285</v>
      </c>
    </row>
    <row r="41" spans="1:3" ht="45" x14ac:dyDescent="0.25">
      <c r="B41" s="4" t="s">
        <v>286</v>
      </c>
      <c r="C41" s="4" t="s">
        <v>287</v>
      </c>
    </row>
    <row r="42" spans="1:3" x14ac:dyDescent="0.25">
      <c r="A42" t="s">
        <v>288</v>
      </c>
      <c r="B42" t="s">
        <v>289</v>
      </c>
      <c r="C42" s="4" t="s">
        <v>290</v>
      </c>
    </row>
    <row r="43" spans="1:3" x14ac:dyDescent="0.25">
      <c r="C43" s="4" t="s">
        <v>291</v>
      </c>
    </row>
    <row r="44" spans="1:3" x14ac:dyDescent="0.25">
      <c r="B44" t="s">
        <v>292</v>
      </c>
      <c r="C44" s="4" t="s">
        <v>293</v>
      </c>
    </row>
    <row r="45" spans="1:3" ht="30" x14ac:dyDescent="0.25">
      <c r="B45" t="s">
        <v>294</v>
      </c>
      <c r="C45" s="4" t="s">
        <v>295</v>
      </c>
    </row>
    <row r="46" spans="1:3" x14ac:dyDescent="0.25">
      <c r="A46" t="s">
        <v>296</v>
      </c>
      <c r="B46" t="s">
        <v>297</v>
      </c>
      <c r="C46" t="s">
        <v>298</v>
      </c>
    </row>
    <row r="47" spans="1:3" x14ac:dyDescent="0.25">
      <c r="C47" t="s">
        <v>299</v>
      </c>
    </row>
    <row r="48" spans="1:3" ht="30" x14ac:dyDescent="0.25">
      <c r="C48" s="4" t="s">
        <v>300</v>
      </c>
    </row>
    <row r="49" spans="2:3" ht="30" x14ac:dyDescent="0.25">
      <c r="B49" t="s">
        <v>301</v>
      </c>
      <c r="C49" s="4" t="s">
        <v>302</v>
      </c>
    </row>
    <row r="50" spans="2:3" x14ac:dyDescent="0.25">
      <c r="C5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Recalculation</vt:lpstr>
      <vt:lpstr>Calculation</vt:lpstr>
      <vt:lpstr>transposed</vt:lpstr>
      <vt:lpstr>Policy 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Peiyao Zhao</dc:creator>
  <cp:keywords/>
  <dc:description/>
  <cp:lastModifiedBy>Peiyao Zhao</cp:lastModifiedBy>
  <cp:revision/>
  <dcterms:created xsi:type="dcterms:W3CDTF">2023-12-13T17:17:39Z</dcterms:created>
  <dcterms:modified xsi:type="dcterms:W3CDTF">2024-09-27T14:26:21Z</dcterms:modified>
  <cp:category/>
  <cp:contentStatus/>
</cp:coreProperties>
</file>