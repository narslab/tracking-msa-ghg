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peiyaozhao\NARS Dropbox\Projects\CT-GHG-Inventories\Emissions-Reduction\"/>
    </mc:Choice>
  </mc:AlternateContent>
  <xr:revisionPtr revIDLastSave="0" documentId="13_ncr:1_{3A4B5F65-5517-49E1-BDF5-4C5F72706103}" xr6:coauthVersionLast="47" xr6:coauthVersionMax="47" xr10:uidLastSave="{00000000-0000-0000-0000-000000000000}"/>
  <bookViews>
    <workbookView xWindow="-9000" yWindow="-21710" windowWidth="38620" windowHeight="21220" activeTab="1" xr2:uid="{00000000-000D-0000-FFFF-FFFF00000000}"/>
  </bookViews>
  <sheets>
    <sheet name="Summary" sheetId="2" r:id="rId1"/>
    <sheet name="Recalculation" sheetId="5" r:id="rId2"/>
    <sheet name="Calculation" sheetId="3" r:id="rId3"/>
    <sheet name="Policy Description" sheetId="4" r:id="rId4"/>
  </sheets>
  <calcPr calcId="191028" concurrentCalc="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3" i="5" l="1"/>
  <c r="E12" i="5"/>
  <c r="E11" i="5"/>
  <c r="F11"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0" i="5"/>
  <c r="E9" i="5"/>
  <c r="E8" i="5"/>
  <c r="E7" i="5"/>
  <c r="E6" i="5"/>
  <c r="E5" i="5"/>
  <c r="E4" i="5"/>
  <c r="E3" i="5"/>
  <c r="E2" i="5"/>
  <c r="F41" i="5"/>
  <c r="G41" i="5"/>
  <c r="F40" i="5"/>
  <c r="F39" i="5"/>
  <c r="G39" i="5"/>
  <c r="F38" i="5"/>
  <c r="G38" i="5"/>
  <c r="F35" i="5"/>
  <c r="G35" i="5"/>
  <c r="F32" i="5"/>
  <c r="F29" i="5"/>
  <c r="G29" i="5"/>
  <c r="F28" i="5"/>
  <c r="F27" i="5"/>
  <c r="G27" i="5"/>
  <c r="F26" i="5"/>
  <c r="F25" i="5"/>
  <c r="F22" i="5"/>
  <c r="G22" i="5"/>
  <c r="F19" i="5"/>
  <c r="G19" i="5"/>
  <c r="F14" i="5"/>
  <c r="G14" i="5"/>
  <c r="F8" i="5"/>
  <c r="F5" i="5"/>
  <c r="G5" i="5"/>
  <c r="F2" i="5"/>
  <c r="G2" i="5"/>
  <c r="BA28" i="3"/>
  <c r="AZ28" i="3"/>
  <c r="D22" i="2"/>
  <c r="BB28" i="3"/>
  <c r="AZ6" i="3"/>
  <c r="BA8" i="3"/>
  <c r="BA9" i="3"/>
  <c r="BA20" i="3"/>
  <c r="BA21" i="3"/>
  <c r="AZ37" i="3"/>
  <c r="BA37" i="3"/>
  <c r="AZ36" i="3"/>
  <c r="AZ35" i="3"/>
  <c r="BA35" i="3"/>
  <c r="AZ34" i="3"/>
  <c r="BA34" i="3"/>
  <c r="AZ33" i="3"/>
  <c r="BA33" i="3"/>
  <c r="AZ32" i="3"/>
  <c r="AZ31" i="3"/>
  <c r="BA31" i="3"/>
  <c r="AZ30" i="3"/>
  <c r="BA30" i="3"/>
  <c r="AZ29" i="3"/>
  <c r="BA29" i="3"/>
  <c r="AZ27" i="3"/>
  <c r="BA27" i="3"/>
  <c r="AZ26" i="3"/>
  <c r="BA26" i="3"/>
  <c r="AZ25" i="3"/>
  <c r="BA25" i="3"/>
  <c r="AZ24" i="3"/>
  <c r="BA24" i="3"/>
  <c r="AZ23" i="3"/>
  <c r="BA23" i="3"/>
  <c r="AZ22" i="3"/>
  <c r="BA22" i="3"/>
  <c r="AZ21" i="3"/>
  <c r="BB21" i="3"/>
  <c r="AZ20" i="3"/>
  <c r="BB20" i="3"/>
  <c r="AZ19" i="3"/>
  <c r="BA19" i="3"/>
  <c r="AZ18" i="3"/>
  <c r="BA18" i="3"/>
  <c r="AZ17" i="3"/>
  <c r="BA17" i="3"/>
  <c r="AZ16" i="3"/>
  <c r="BA16" i="3"/>
  <c r="AZ15" i="3"/>
  <c r="BA15" i="3"/>
  <c r="AZ14" i="3"/>
  <c r="BA14" i="3"/>
  <c r="AZ13" i="3"/>
  <c r="BA13" i="3"/>
  <c r="AZ12" i="3"/>
  <c r="BA12" i="3"/>
  <c r="AZ11" i="3"/>
  <c r="BA11" i="3"/>
  <c r="AZ10" i="3"/>
  <c r="BA10" i="3"/>
  <c r="AZ9" i="3"/>
  <c r="AZ8" i="3"/>
  <c r="AZ7" i="3"/>
  <c r="AZ5" i="3"/>
  <c r="BA5" i="3"/>
  <c r="AZ4" i="3"/>
  <c r="BA4" i="3"/>
  <c r="AZ2" i="3"/>
  <c r="BA2" i="3"/>
  <c r="AZ3" i="3"/>
  <c r="BB29" i="3"/>
  <c r="BB36" i="3"/>
  <c r="BB3" i="3"/>
  <c r="BB8" i="3"/>
  <c r="BB32" i="3"/>
  <c r="BB7" i="3"/>
  <c r="BB9" i="3"/>
  <c r="BB17" i="3"/>
  <c r="BB16" i="3"/>
  <c r="BB15" i="3"/>
  <c r="BB6" i="3"/>
  <c r="BB23" i="3"/>
  <c r="BB35" i="3"/>
  <c r="BB34" i="3"/>
  <c r="BB33" i="3"/>
  <c r="BA32" i="3"/>
  <c r="BB37" i="3"/>
  <c r="BB22" i="3"/>
  <c r="BB19" i="3"/>
  <c r="BA36" i="3"/>
  <c r="BA7" i="3"/>
  <c r="BA6" i="3"/>
  <c r="BB2" i="3"/>
  <c r="BB18" i="3"/>
  <c r="BB12" i="3"/>
  <c r="BB31" i="3"/>
  <c r="BB11" i="3"/>
  <c r="BB14" i="3"/>
  <c r="BB13" i="3"/>
  <c r="BB30" i="3"/>
  <c r="BB10" i="3"/>
  <c r="BB27" i="3"/>
  <c r="BB26" i="3"/>
  <c r="BB25" i="3"/>
  <c r="BB5" i="3"/>
  <c r="BA3" i="3"/>
  <c r="BB24" i="3"/>
  <c r="BB4" i="3"/>
</calcChain>
</file>

<file path=xl/sharedStrings.xml><?xml version="1.0" encoding="utf-8"?>
<sst xmlns="http://schemas.openxmlformats.org/spreadsheetml/2006/main" count="584" uniqueCount="346">
  <si>
    <t>Sector</t>
  </si>
  <si>
    <t>Subsector</t>
  </si>
  <si>
    <t>Year</t>
  </si>
  <si>
    <t>Total Emissions (MMTCO2e)</t>
  </si>
  <si>
    <t>CO2 Emissions (MMTCO2e)</t>
  </si>
  <si>
    <t>CH4 Emissions (MMTCO2e)</t>
  </si>
  <si>
    <t>N2O Emissions (MMTCO2e)</t>
  </si>
  <si>
    <t>VMT (billion miles)</t>
  </si>
  <si>
    <t>Total emissions factors in eGrid (Ib/MWh)</t>
  </si>
  <si>
    <t>Mobile Combustion</t>
  </si>
  <si>
    <t>Automobile</t>
  </si>
  <si>
    <t>Motorcycle</t>
  </si>
  <si>
    <t>Trucks</t>
  </si>
  <si>
    <t>Buses</t>
  </si>
  <si>
    <t>Electricity Consumption</t>
  </si>
  <si>
    <t>Residential Electricity</t>
  </si>
  <si>
    <t>Commercial&amp;Industrial Electricity</t>
  </si>
  <si>
    <t>Solid Waste Landfills</t>
  </si>
  <si>
    <t>Landfill fuel combustion</t>
  </si>
  <si>
    <t>Landfill methane</t>
  </si>
  <si>
    <t>Stationary Combustion</t>
  </si>
  <si>
    <t>Residential fuel oil</t>
  </si>
  <si>
    <t>Residential natural gas</t>
  </si>
  <si>
    <t>Residential propane</t>
  </si>
  <si>
    <t>Commercial fuel</t>
  </si>
  <si>
    <t>Industrial fuel</t>
  </si>
  <si>
    <t>Agriculture &amp; Land management</t>
  </si>
  <si>
    <t>Organic fertilizer</t>
  </si>
  <si>
    <t>Synthetic fertilizer</t>
  </si>
  <si>
    <t>Manure fertilizer</t>
  </si>
  <si>
    <t>Wastewater treatment</t>
  </si>
  <si>
    <t>Wastewater</t>
  </si>
  <si>
    <t>Forestry</t>
  </si>
  <si>
    <t>Deciduous forest</t>
  </si>
  <si>
    <t>Coniferous forest</t>
  </si>
  <si>
    <t>Forested wetland</t>
  </si>
  <si>
    <t>Scenario</t>
  </si>
  <si>
    <t>Assumptions</t>
  </si>
  <si>
    <t>T.1</t>
  </si>
  <si>
    <t>T.2</t>
  </si>
  <si>
    <t>T.3</t>
  </si>
  <si>
    <t>T.4</t>
  </si>
  <si>
    <t>T.5</t>
  </si>
  <si>
    <t>T.6</t>
  </si>
  <si>
    <t>T.7</t>
  </si>
  <si>
    <t>T.8</t>
  </si>
  <si>
    <t>T.9</t>
  </si>
  <si>
    <t>T.10</t>
  </si>
  <si>
    <t>T.11</t>
  </si>
  <si>
    <t>T.12</t>
  </si>
  <si>
    <t>T.13</t>
  </si>
  <si>
    <t>E.1</t>
  </si>
  <si>
    <t>E.2</t>
  </si>
  <si>
    <t>E.3</t>
  </si>
  <si>
    <t>E.4</t>
  </si>
  <si>
    <t>E.5</t>
  </si>
  <si>
    <t>E.6</t>
  </si>
  <si>
    <t>E.7</t>
  </si>
  <si>
    <t>E.8</t>
  </si>
  <si>
    <t>E.9</t>
  </si>
  <si>
    <t>E.10</t>
  </si>
  <si>
    <t>E.11</t>
  </si>
  <si>
    <t>B.1</t>
  </si>
  <si>
    <t>B.2</t>
  </si>
  <si>
    <t>B.3</t>
  </si>
  <si>
    <t>B.4</t>
  </si>
  <si>
    <t>B.5</t>
  </si>
  <si>
    <t>B.6</t>
  </si>
  <si>
    <t>B.7</t>
  </si>
  <si>
    <t>B.8</t>
  </si>
  <si>
    <t>B.9</t>
  </si>
  <si>
    <t>B.10</t>
  </si>
  <si>
    <t>B.11</t>
  </si>
  <si>
    <t>B.12</t>
  </si>
  <si>
    <t>B.13</t>
  </si>
  <si>
    <t>I.1</t>
  </si>
  <si>
    <t>I.2</t>
  </si>
  <si>
    <t>I.3</t>
  </si>
  <si>
    <t>L.1</t>
  </si>
  <si>
    <t>L.2</t>
  </si>
  <si>
    <t>L.3</t>
  </si>
  <si>
    <t>L.4</t>
  </si>
  <si>
    <t>W.1</t>
  </si>
  <si>
    <t>W.2</t>
  </si>
  <si>
    <t>W.3</t>
  </si>
  <si>
    <t>W.4</t>
  </si>
  <si>
    <t>W.5</t>
  </si>
  <si>
    <t>GHG Reduction (MMTCO2e)</t>
  </si>
  <si>
    <t>GHG Reduction (TMTCO2e)</t>
  </si>
  <si>
    <t>Percentage of reduction %</t>
  </si>
  <si>
    <t>Activity 1</t>
  </si>
  <si>
    <t>% of reduction</t>
  </si>
  <si>
    <t>Activity 2</t>
  </si>
  <si>
    <t>Activity 3</t>
  </si>
  <si>
    <t>% of increase</t>
  </si>
  <si>
    <t>Activity 4</t>
  </si>
  <si>
    <t>Calculation Method</t>
  </si>
  <si>
    <t>T.a</t>
  </si>
  <si>
    <t xml:space="preserve">10% of total buses in New Haven are school buses, all the school buses are switched to EVs </t>
  </si>
  <si>
    <t>X</t>
  </si>
  <si>
    <t>VMT (buses)</t>
  </si>
  <si>
    <t>10 in electricity generation emissions</t>
  </si>
  <si>
    <t>0.1*TEmi_buses-1000000000*0.1*VMT_buses/(3000*2204.62*1000000)</t>
  </si>
  <si>
    <t>T.b</t>
  </si>
  <si>
    <t>5% trucks are in municipal fleet and adopting the hydrogen as the fuel sources; all hydrogen powered car are fuel cell electric cars, zero tailpipe emissions</t>
  </si>
  <si>
    <t>VMT ( truck)</t>
  </si>
  <si>
    <t>0.05*Temi_trucks</t>
  </si>
  <si>
    <t>T.c</t>
  </si>
  <si>
    <t>Idling reduces the MPG by 10 percent for any types of vehicles (most influence the carbon dioxide emissions) ; 5% percent of the passenger cars, and 5% of the trucks and all buses are from municipal fleet</t>
  </si>
  <si>
    <t>MPG(automobiles, trucks)</t>
  </si>
  <si>
    <t>MPG(buses)</t>
  </si>
  <si>
    <t>(0.05*(CEmi_automobile+CEmi_trucks)+CEmi_buses)*0.1</t>
  </si>
  <si>
    <t>T.d</t>
  </si>
  <si>
    <t>10% increase in bus mileage and 5% decrease in passenger car mileage</t>
  </si>
  <si>
    <t>VMT (automobile)</t>
  </si>
  <si>
    <t>0.05*TEmi_automobile-0.1*TEmi_buses</t>
  </si>
  <si>
    <t>T.e</t>
  </si>
  <si>
    <t>5% increase in bus mileage and 10% decrease in passenger car mileage</t>
  </si>
  <si>
    <t>0.1*TEmi_automobile-0.05*TEmi_buses</t>
  </si>
  <si>
    <t>T.f</t>
  </si>
  <si>
    <t>5% increase in bus mileage and 5% decrease in passenger car mileage</t>
  </si>
  <si>
    <t>0.05*(TEmi_automobile-TEmi_buses)</t>
  </si>
  <si>
    <t>T.g</t>
  </si>
  <si>
    <t>10% increase in bus mileage and 10% decrease in passenger car mileage</t>
  </si>
  <si>
    <t>0.1*(TEmi_automobile-TEmi_buses)</t>
  </si>
  <si>
    <t>T.h</t>
  </si>
  <si>
    <t>20% increase in bus mileage and 10% decrease in passenger car mileage</t>
  </si>
  <si>
    <t>0.1*TEmi_automobile-0.2*TEmi_buses</t>
  </si>
  <si>
    <t>T.i</t>
  </si>
  <si>
    <t>20% passenger cars are replaced by electric vehicles</t>
  </si>
  <si>
    <t>20 in electricity generation emissions</t>
  </si>
  <si>
    <t>0.2*TEmi_automobile-1000000000*(0.2*VMT_automobile)/(3000*2204.62*1000000)</t>
  </si>
  <si>
    <t>T.j</t>
  </si>
  <si>
    <t>40% trucks are replaced by electric vehicles</t>
  </si>
  <si>
    <t>VMT (trucks)</t>
  </si>
  <si>
    <t>40 in electricity generation emissions</t>
  </si>
  <si>
    <t>0.4*TEmi_truck-1000000000*(0.4*VMT_truck)/(3000*2204.62*1000000)</t>
  </si>
  <si>
    <t>T.k</t>
  </si>
  <si>
    <t>5% reduction in the total vehicle emissions due to remote working schedule</t>
  </si>
  <si>
    <t>VMT (automobile, truck, motorcycle, buses)</t>
  </si>
  <si>
    <t>0.05*(TEmi_automobile+TEmi_truck+TEmi_buses+TEmi_motorcycle)</t>
  </si>
  <si>
    <t>T.l</t>
  </si>
  <si>
    <t>40% passenger cars are replaced by electric vehicles</t>
  </si>
  <si>
    <t>0.4*TEmi_automobile-1000000000*(0.4*VMT_automobile)/(3000*2204.62*1000000)</t>
  </si>
  <si>
    <t>T.m</t>
  </si>
  <si>
    <t>10% reduction in the total vehicle emissions due to the adoption of renewable energy sources</t>
  </si>
  <si>
    <t>0.1*(TEmi_automobile+TEmi_truck+TEmi_buses+TEmi_motorcycle)</t>
  </si>
  <si>
    <t>E.a</t>
  </si>
  <si>
    <t>10% reduction in the regional emissions factors</t>
  </si>
  <si>
    <t>Emissions factors (residential, industrial/ commercial)</t>
  </si>
  <si>
    <t>0.1*(EEmi_residential+EEmi_industrial/commercial)</t>
  </si>
  <si>
    <t>E.b</t>
  </si>
  <si>
    <t>15% reduction in the regional emissions factors</t>
  </si>
  <si>
    <t>0.15*(EEmi_residential+EEmi_industrial/commercial)</t>
  </si>
  <si>
    <t>E.c</t>
  </si>
  <si>
    <t>20% reduction in the regional emissions factors</t>
  </si>
  <si>
    <t>0.2*(EEmi_residential+EEmi_industrial/commercial)</t>
  </si>
  <si>
    <t>E.d</t>
  </si>
  <si>
    <t>30% reduction in the regional emissions factors</t>
  </si>
  <si>
    <t>0.3*(EEmi_residential+EEmi_industrial/commercial)</t>
  </si>
  <si>
    <t>E.e</t>
  </si>
  <si>
    <t>40% reduction in wastewater emissions</t>
  </si>
  <si>
    <t>Wastewater emissions</t>
  </si>
  <si>
    <t>0.4*Temi_wastewater</t>
  </si>
  <si>
    <t>E.f</t>
  </si>
  <si>
    <t>10% reduction in the industrial electricity emissions</t>
  </si>
  <si>
    <t>Electricity consumption (industrial/ commercial)</t>
  </si>
  <si>
    <t>0.1*EEmi_industrial/commercial</t>
  </si>
  <si>
    <t>E.g</t>
  </si>
  <si>
    <t xml:space="preserve"> 30% reduction in the industrial electricity emissions</t>
  </si>
  <si>
    <t>0.3*EEmi_industrial/commercial</t>
  </si>
  <si>
    <t>B.a</t>
  </si>
  <si>
    <t xml:space="preserve">consumption of all fossil fuel in residential building reduces by 10% </t>
  </si>
  <si>
    <t>Residential (fuel oil, natural gas, propane consumption)</t>
  </si>
  <si>
    <t>0.1*(TEmi_stationary_oil+TEmi_stationary_natural_gas+TEmi_stationary_propane)</t>
  </si>
  <si>
    <t>B.b</t>
  </si>
  <si>
    <t xml:space="preserve">consumption of all fossil fuel in residential building reduces by 20% </t>
  </si>
  <si>
    <t>0.2*(TEmi_stationary_oil+TEmi_stationary_natural_gas+TEmi_stationary_propane)</t>
  </si>
  <si>
    <t>B.c</t>
  </si>
  <si>
    <t>residential and commercial emissions reduced by 20%</t>
  </si>
  <si>
    <t>residential and commercial emissions</t>
  </si>
  <si>
    <t>0.2*(Temi_residential+Temi_commercial)</t>
  </si>
  <si>
    <t>B.d</t>
  </si>
  <si>
    <t xml:space="preserve">consumption of all fossil fuel in residential building reduces by 30% </t>
  </si>
  <si>
    <t>0.3*(TEmi_stationary_oil+TEmi_stationary_natural_gas+TEmi_stationary_propane)</t>
  </si>
  <si>
    <t>B.e</t>
  </si>
  <si>
    <t xml:space="preserve">consumption of all fossil fuel in residential building reduces by 40% </t>
  </si>
  <si>
    <t>0.4*(TEmi_stationary_oil+TEmi_stationary_natural_gas+TEmi_stationary_propane)</t>
  </si>
  <si>
    <t>B.f</t>
  </si>
  <si>
    <t xml:space="preserve">consumption of all fossil fuel in residential building reduces by 50% </t>
  </si>
  <si>
    <t>0.5*(TEmi_stationary_oil+TEmi_stationary_natural_gas+TEmi_stationary_propane)</t>
  </si>
  <si>
    <t>B.g</t>
  </si>
  <si>
    <t xml:space="preserve">commerical buidling emissions reduce by 10% </t>
  </si>
  <si>
    <t>commercial building emissions</t>
  </si>
  <si>
    <t>0.1*Temi_commercial_building</t>
  </si>
  <si>
    <t>B.h</t>
  </si>
  <si>
    <t xml:space="preserve">commerical buidling emissions reduce by 20% </t>
  </si>
  <si>
    <t>0.2*Temi_commercial_building</t>
  </si>
  <si>
    <t>B.i</t>
  </si>
  <si>
    <t xml:space="preserve">commerical buidling emissions reduce by 30% </t>
  </si>
  <si>
    <t>0.3*Temi_commercial_building</t>
  </si>
  <si>
    <t>B.j</t>
  </si>
  <si>
    <t>50% reduction in the regional electricity emissions factors</t>
  </si>
  <si>
    <t>0.5*(EEmi_residential+EEmi_industrial/commercial)</t>
  </si>
  <si>
    <t>I.a</t>
  </si>
  <si>
    <t>10% reduction in healthcare emissions.</t>
  </si>
  <si>
    <t>Industrial (healthcare)</t>
  </si>
  <si>
    <t>0.1*TEmi_stationary_industrial</t>
  </si>
  <si>
    <t>I.b</t>
  </si>
  <si>
    <t>20% reduction in healthcare emissions.</t>
  </si>
  <si>
    <t>0.2*TEmi_stationary_industrial</t>
  </si>
  <si>
    <t>I.c</t>
  </si>
  <si>
    <t>30% reduction in healthcare emissions.</t>
  </si>
  <si>
    <t>0.3*TEmi_stationary_industrial</t>
  </si>
  <si>
    <t>L.a</t>
  </si>
  <si>
    <t>20% increase in forest land area</t>
  </si>
  <si>
    <t>Forest land area</t>
  </si>
  <si>
    <t>0.2*(Seq_forest)</t>
  </si>
  <si>
    <t>L.b</t>
  </si>
  <si>
    <t>10% increase in forest land area</t>
  </si>
  <si>
    <t>0.1*(Seq_forest)</t>
  </si>
  <si>
    <t>L.c</t>
  </si>
  <si>
    <t>20% reduction in agricultural emissions</t>
  </si>
  <si>
    <t>agricultural emissions</t>
  </si>
  <si>
    <t>0.2*TEmi_agricultural</t>
  </si>
  <si>
    <t xml:space="preserve">Labels: </t>
  </si>
  <si>
    <t xml:space="preserve">TEmi: total greenhouse gas emissions </t>
  </si>
  <si>
    <t>CEmi: carbon dioxide emissions</t>
  </si>
  <si>
    <t>EEmi: emissions from electricity consumption</t>
  </si>
  <si>
    <t>Goal</t>
  </si>
  <si>
    <t>Policy</t>
  </si>
  <si>
    <t>Mobility and transportation</t>
  </si>
  <si>
    <t>A Clean and Green Municipal Fleet</t>
  </si>
  <si>
    <t>T.1 Accelerate and/or begin adopting EV’s into the municipal fleet, including public school buses.</t>
  </si>
  <si>
    <t>T.2 Begin adopting alter_x0002_nate fuel sources such as hydrogen for medium to heavy-duty vehicles where EV transition is not possible.</t>
  </si>
  <si>
    <t>T.3 Reduce idling in mu_x0002_nicipal fleet; work with civil engineers to adjust traffic signals and pat_x0002_terns to reduce idle time.</t>
  </si>
  <si>
    <t>Create a transit first approach and reduce spatial misalignment</t>
  </si>
  <si>
    <t>T.4 Offer discounted transit fare for LIDACs</t>
  </si>
  <si>
    <t>T.5 Create a transit-first approach: a.Pilot pedestrianization, limited traffic (bus only lanes/streets) and use of active transportation 
downtown and dense developments. b. Ensure opportunity areas are completely accessible by transit. c. Advocate for transit plans that 
incentivize new development in areas that will allow for transit, walking, and bike use</t>
  </si>
  <si>
    <t>T.6 Reduce spatial misalign_x0002_ment through changes in land-use: Conduct feasibility stud_x0002_ies for creating economic zones in areas with 
high commute times. Encourage denser housing in areas near existing eco_x0002_nomic zones.</t>
  </si>
  <si>
    <t>T.7 Partner with micro-mobility companies to enable cross-town trips for smaller towns nearby.</t>
  </si>
  <si>
    <t>T.8 Create more park-and-ride options, and increase transit access and frequency in areas with high car owner_x0002_ship and high commute times to work to enable multi-modal trips.</t>
  </si>
  <si>
    <t>Reduce emissions from private vehicles</t>
  </si>
  <si>
    <t>T.9 Increase the overall Electric Vehicle adoption and create infrastructure to support this: • Communicate the benefits of CHEAPR to low and middle-income communities, and have limited time offers of higher Rebate+ to encourage buying of EVs in the short-term</t>
  </si>
  <si>
    <t>T.10 Incentivize EVs for shared-mobility companies (Uber/Lyft); this can even include free public parking for such vehicles</t>
  </si>
  <si>
    <t>T.11 Incentivize trip reduction programs in public offices and partner with private offices for the same: this basically requires an 
increase in work-from-home so that work-commute is reduced.</t>
  </si>
  <si>
    <t>T.12 Improve broadband access (with at least 1GBPS) state-wide</t>
  </si>
  <si>
    <t>T.13 Pursue alternative fuel sources, such as hydrogen, where electrification is not possible</t>
  </si>
  <si>
    <t>Electricity Production and Consumption</t>
  </si>
  <si>
    <t>Reduce electricity consumption from fossil fuel sources in municipal buildings and services</t>
  </si>
  <si>
    <t>E.1 Utilize on site renew_x0002_ables (ie. rooftop solar) to power municipal operations</t>
  </si>
  <si>
    <t>E.2 leverage powers of municipal utilities to pro_x0002_cure renewable power, ex_x0002_pand electricity production capabilities, and/or invest in storage capabilities with_x0002_in the municipality</t>
  </si>
  <si>
    <t>E.3 Increase procurement of renewable energy for municipal services</t>
  </si>
  <si>
    <t>E.4 Pursue microgrid projects that integrate onsite renewables and electricity from the grid to power municipal services</t>
  </si>
  <si>
    <t>E.5 Increase efficiency of wastewater treatment facilities, utilize onsite solar, or biogas to lower emissions at these facilities</t>
  </si>
  <si>
    <t>Increase renewable energy production and consumption 
at the local scale</t>
  </si>
  <si>
    <t>E.6 Set up outreach programs that communicate state and federal level financing programs that support on site renewable 
generation to consumers.</t>
  </si>
  <si>
    <t>E.7 Evaluate the potential of citing renewable energy projects on vacant, underutilized land/combine with open space planning</t>
  </si>
  <si>
    <t>E.8 Consider adopting clean energy zoning ordinances that would require new and/or existing buildings to meet certain clean energy 
milestones through the use of onsite renewables or clean energy purchasing</t>
  </si>
  <si>
    <t>E.9 Coordinate through housing authorities to build out community solar projects and microgrids for public housing complexe</t>
  </si>
  <si>
    <t>Prepare local economies for renewable energy transition</t>
  </si>
  <si>
    <t>E.10 Prepare economic development plans around offshore wind energy</t>
  </si>
  <si>
    <t>E.11 Partner with local workforce development centers and union chapters to prepare workforce in key renewable energy sectors, 
such as offshore wind en_x0002_ergy and solar installations</t>
  </si>
  <si>
    <t>Energy Efficiency in Buildings</t>
  </si>
  <si>
    <t>Building Energy Benchmarking and Disclosure for existing and new buildings</t>
  </si>
  <si>
    <t>B.1 - Require building own_x0002_ers to annually benchmark and disclose their energy usage and efficiency rat_x0002_ings</t>
  </si>
  <si>
    <t>B.2 - Provide educational resources and support to building owners to help them understand and im_x0002_prove energy performance</t>
  </si>
  <si>
    <t>B.3 - Ensure all municipal operations rely on 100% renewable energy source</t>
  </si>
  <si>
    <t>B.4 - Advocate for strict building codes and achieve net zero energy usage</t>
  </si>
  <si>
    <t>B.5 - Offer incentives and expedited permit_x0002_ting for projects that achieve green building certifications</t>
  </si>
  <si>
    <t>B.6.-Support climate friendly land use: develop robust resources to enable municipalities to implement model climate-friendly land use and zoning practices.</t>
  </si>
  <si>
    <t>Renewable Energy Access for low Income Homes</t>
  </si>
  <si>
    <t>B.7 - Install solar heating on low income housing units o generate clean, renewable energy and reduce electric_x0002_ity costs</t>
  </si>
  <si>
    <t>B.8- Develop community solar heating programs that allow low-income residents to benefit from shared solar installations</t>
  </si>
  <si>
    <t>B.9 - Install energy monitoring and management systems in low-income housing to track and control energy consumption.</t>
  </si>
  <si>
    <t>Energy-efficient Building Materials and Retrofits</t>
  </si>
  <si>
    <t>B.10- Support the adoption of sustainable building materials in low income housing construction and renovation</t>
  </si>
  <si>
    <t>B.11 - Establish a city-wide retrofit program especially for low income and municipal buildings, providing grants and low-interest 
loans to property owners for energy-efficient upgrades</t>
  </si>
  <si>
    <t>B.12 - Monitor and report the energy and cost savings resulting from retrofitting and sustainable materials to demonstrate their 
impact and encourage further investment.</t>
  </si>
  <si>
    <t xml:space="preserve">B.13-Set up outreach programs at the regional or local level that target LMI households for heat pump installations and energy efficiency upgrades. 
-	Highlight the benefits of HEATsmart programs to increase heat pump uptake in LIDAC communities.
-	Partner with social service and community-based agencies for assistance on outreach into LIDAC areas. 
-	Highlight the benefits of other state and federal incentives for heat pump installation and energy efficiency upgrades, such as HES-IE through EnergizeCT.  </t>
  </si>
  <si>
    <t>Industrial</t>
  </si>
  <si>
    <t>Improve Emissions Monitoring, Accounting and Reporting</t>
  </si>
  <si>
    <t>I.1 - Require utility companies, gas sup_x0002_pliers, and health care establishments to report emissions data</t>
  </si>
  <si>
    <t xml:space="preserve">Reduce emissions through low-carbon procurement </t>
  </si>
  <si>
    <t>I.2 Embed a purchasing criterion in public projects that states a preference for suppli_x0002_ers or service providers who have a trans_x0002_parent 
and standardized GHG inventory.</t>
  </si>
  <si>
    <t>Reduce emissions from the health care sector through 
public-private partnership</t>
  </si>
  <si>
    <t xml:space="preserve">I.3 Collaborate with the healthcare sector to offer financial grants or subsidies to healthcare facili_x0002_ties that are committed to adopting low-emission practices in specific medical areas. Partner with major healthcare providers to establish a preferential purchasing system, prioritizing suppliers or service providers who disclose their carbon footprint and have clear decarbonization objectives. </t>
  </si>
  <si>
    <t>Working Lands &amp; Forestry</t>
  </si>
  <si>
    <t xml:space="preserve">Preserve and support existing and potential forested lands </t>
  </si>
  <si>
    <t>L.1 Pursue afforestation reforestation throughout county</t>
  </si>
  <si>
    <t>L.2 Support current efforts and management strategies to maintain existing forests on both private and public property.</t>
  </si>
  <si>
    <t>Increase Urban Tree Canopy (UTC)</t>
  </si>
  <si>
    <t>L.3 Increase urban tree canopy in low-income disadvantaged communities</t>
  </si>
  <si>
    <t xml:space="preserve">Support farming initiatives across urban, suburban, and rural typologies. </t>
  </si>
  <si>
    <t>L.4.-Work with agricultural stakeholders including rural and urban farmers to design programs that reduce emissions, with a focus on co-benefits like food security, waste reduction, and sustainability.</t>
  </si>
  <si>
    <t>Waste Management</t>
  </si>
  <si>
    <t>Divert waste with local and regional programs</t>
  </si>
  <si>
    <t>W.1 Establish a county-wide unit-based pricing program with food-scrap collection and public education</t>
  </si>
  <si>
    <t>W.2 Establish a regional waste management authority in New Haven County; implement waste diversion infrastructure and programs.</t>
  </si>
  <si>
    <t>W.3 Expand and continue community-based food waste reduction programs, such as CET’s assistance for food waste reduction in 
businesses, schools, and institutions.</t>
  </si>
  <si>
    <t>Enact and expand statewide waste reduction laws</t>
  </si>
  <si>
    <t>W.4 Advocate for the expansion of Connecticut’s Commercial Organics Law to include a wider array of organizations and more 
geographic locations.</t>
  </si>
  <si>
    <t>W.5 Establish a regional waste management authority in New Haven County; implement waste diversion infrastructure and programs.</t>
  </si>
  <si>
    <t>Strategy</t>
  </si>
  <si>
    <t>Uncertainty</t>
  </si>
  <si>
    <t>Change in
uncertainty</t>
  </si>
  <si>
    <t>GHG Reduction 
(MMTCO2e)</t>
  </si>
  <si>
    <t>Reduction for each scenario</t>
  </si>
  <si>
    <t>Reduction for each strategies</t>
  </si>
  <si>
    <t>M1</t>
  </si>
  <si>
    <t>S1</t>
  </si>
  <si>
    <t>U1</t>
  </si>
  <si>
    <t>U4</t>
  </si>
  <si>
    <t>U8</t>
  </si>
  <si>
    <t>M2</t>
  </si>
  <si>
    <t>S2</t>
  </si>
  <si>
    <t>U2</t>
  </si>
  <si>
    <t>U3</t>
  </si>
  <si>
    <t>M3</t>
  </si>
  <si>
    <t>S3</t>
  </si>
  <si>
    <t>U5</t>
  </si>
  <si>
    <t>U6</t>
  </si>
  <si>
    <t>E1</t>
  </si>
  <si>
    <t>S5</t>
  </si>
  <si>
    <t>U7</t>
  </si>
  <si>
    <t>U9</t>
  </si>
  <si>
    <t>E2</t>
  </si>
  <si>
    <t>S6</t>
  </si>
  <si>
    <t>S7</t>
  </si>
  <si>
    <t>E3</t>
  </si>
  <si>
    <t>S8</t>
  </si>
  <si>
    <t>U10</t>
  </si>
  <si>
    <t>U11</t>
  </si>
  <si>
    <t>U12</t>
  </si>
  <si>
    <t>S9</t>
  </si>
  <si>
    <t>W1</t>
  </si>
  <si>
    <t>S10</t>
  </si>
  <si>
    <t>U13</t>
  </si>
  <si>
    <t>A1</t>
  </si>
  <si>
    <t>S11</t>
  </si>
  <si>
    <t>U14</t>
  </si>
  <si>
    <t>S12</t>
  </si>
  <si>
    <t>F1</t>
  </si>
  <si>
    <t>S13</t>
  </si>
  <si>
    <t>U15</t>
  </si>
  <si>
    <t>S4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</si>
</sst>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4" x14ac:knownFonts="1">
    <font>
      <sz val="11"/>
      <color theme="1"/>
      <name val="Aptos Narrow"/>
      <family val="2"/>
      <scheme val="minor"/>
    </font>
    <font>
      <b/>
      <sz val="11"/>
      <color theme="1"/>
      <name val="Aptos Narrow"/>
      <family val="2"/>
      <scheme val="minor"/>
    </font>
    <font>
      <sz val="8"/>
      <name val="Aptos Narrow"/>
      <family val="2"/>
      <scheme val="minor"/>
    </font>
    <font>
      <sz val="15"/>
      <color rgb="FF040C2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3" fontId="0" fillId="0" borderId="0" xfId="0" applyNumberFormat="1"/>
    <xf numFmtId="0" fontId="1" fillId="0" borderId="0" xfId="0" applyFont="1"/>
    <xf numFmtId="0" fontId="0" fillId="0" borderId="0" xfId="0" applyAlignment="1">
      <alignment wrapText="1"/>
    </xf>
    <xf numFmtId="16" fontId="0" fillId="0" borderId="0" xfId="0" applyNumberFormat="1"/>
    <xf numFmtId="2" fontId="0" fillId="0" borderId="0" xfId="0" applyNumberFormat="1"/>
    <xf numFmtId="0" fontId="3" fillId="0" borderId="0" xfId="0" applyFont="1"/>
    <xf numFmtId="2" fontId="0" fillId="0" borderId="0" xfId="0" applyNumberFormat="1" applyAlignment="1">
      <alignment wrapText="1"/>
    </xf>
    <xf numFmtId="11" fontId="0" fillId="0" borderId="0" xfId="0" applyNumberFormat="1" applyAlignment="1">
      <alignment wrapText="1"/>
    </xf>
    <xf numFmtId="0" fontId="0" fillId="0" borderId="0" xfId="0" quotePrefix="1"/>
    <xf numFmtId="11" fontId="0" fillId="0" borderId="0" xfId="0" quotePrefix="1" applyNumberFormat="1"/>
    <xf numFmtId="16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zoomScale="123" workbookViewId="0">
      <selection activeCell="D10" sqref="D10"/>
    </sheetView>
  </sheetViews>
  <sheetFormatPr defaultColWidth="8.85546875" defaultRowHeight="15" x14ac:dyDescent="0.25"/>
  <cols>
    <col min="1" max="1" width="29.85546875" bestFit="1" customWidth="1"/>
    <col min="2" max="2" width="28.28515625" bestFit="1" customWidth="1"/>
    <col min="3" max="3" width="9.42578125" bestFit="1" customWidth="1"/>
    <col min="4" max="4" width="24.28515625" bestFit="1" customWidth="1"/>
    <col min="5" max="7" width="23.140625" bestFit="1" customWidth="1"/>
    <col min="8" max="8" width="15.85546875" bestFit="1" customWidth="1"/>
    <col min="9" max="9" width="26.85546875" bestFit="1" customWidth="1"/>
  </cols>
  <sheetData>
    <row r="1" spans="1:9" x14ac:dyDescent="0.25">
      <c r="A1" s="2" t="s">
        <v>0</v>
      </c>
      <c r="B1" s="2" t="s">
        <v>1</v>
      </c>
      <c r="C1" s="2" t="s">
        <v>2</v>
      </c>
      <c r="D1" s="2" t="s">
        <v>3</v>
      </c>
      <c r="E1" t="s">
        <v>4</v>
      </c>
      <c r="F1" t="s">
        <v>5</v>
      </c>
      <c r="G1" t="s">
        <v>6</v>
      </c>
      <c r="H1" t="s">
        <v>7</v>
      </c>
      <c r="I1" t="s">
        <v>8</v>
      </c>
    </row>
    <row r="2" spans="1:9" x14ac:dyDescent="0.25">
      <c r="A2" t="s">
        <v>9</v>
      </c>
      <c r="B2" t="s">
        <v>10</v>
      </c>
      <c r="C2">
        <v>2021</v>
      </c>
      <c r="D2" s="9">
        <v>1.06237771614868</v>
      </c>
      <c r="E2" s="9">
        <v>1.0557530939500701</v>
      </c>
      <c r="F2">
        <v>5.7958199462859999E-4</v>
      </c>
      <c r="G2">
        <v>6.0450402039766002E-3</v>
      </c>
      <c r="H2">
        <v>2.9</v>
      </c>
    </row>
    <row r="3" spans="1:9" x14ac:dyDescent="0.25">
      <c r="A3" t="s">
        <v>9</v>
      </c>
      <c r="B3" t="s">
        <v>11</v>
      </c>
      <c r="C3">
        <v>2021</v>
      </c>
      <c r="D3">
        <v>3.7835471022077898E-2</v>
      </c>
      <c r="E3">
        <v>3.7835471022077898E-2</v>
      </c>
      <c r="F3">
        <v>0</v>
      </c>
      <c r="G3">
        <v>0</v>
      </c>
      <c r="H3">
        <v>0.22</v>
      </c>
    </row>
    <row r="4" spans="1:9" x14ac:dyDescent="0.25">
      <c r="A4" t="s">
        <v>9</v>
      </c>
      <c r="B4" t="s">
        <v>12</v>
      </c>
      <c r="C4">
        <v>2021</v>
      </c>
      <c r="D4" s="9">
        <v>1.84784317734181</v>
      </c>
      <c r="E4" s="9">
        <v>1.8465521642845799</v>
      </c>
      <c r="F4" s="10">
        <v>9.9923611240668999E-5</v>
      </c>
      <c r="G4">
        <v>1.1910894459887E-3</v>
      </c>
      <c r="H4">
        <v>4</v>
      </c>
    </row>
    <row r="5" spans="1:9" x14ac:dyDescent="0.25">
      <c r="A5" t="s">
        <v>9</v>
      </c>
      <c r="B5" t="s">
        <v>13</v>
      </c>
      <c r="C5">
        <v>2021</v>
      </c>
      <c r="D5">
        <v>2.0892621056044999E-2</v>
      </c>
      <c r="E5">
        <v>2.0849879008288399E-2</v>
      </c>
      <c r="F5" s="10">
        <v>3.3082080306980598E-6</v>
      </c>
      <c r="G5" s="10">
        <v>3.9433839725920899E-5</v>
      </c>
      <c r="H5">
        <v>0.03</v>
      </c>
    </row>
    <row r="6" spans="1:9" x14ac:dyDescent="0.25">
      <c r="A6" t="s">
        <v>14</v>
      </c>
      <c r="B6" t="s">
        <v>15</v>
      </c>
      <c r="C6">
        <v>2021</v>
      </c>
      <c r="D6" s="9">
        <v>0.866169676671945</v>
      </c>
      <c r="E6" s="9">
        <v>0.85903138814704505</v>
      </c>
      <c r="F6">
        <v>2.8667825401201999E-3</v>
      </c>
      <c r="G6">
        <v>4.2715059847792001E-3</v>
      </c>
      <c r="I6">
        <v>543.85199999999998</v>
      </c>
    </row>
    <row r="7" spans="1:9" x14ac:dyDescent="0.25">
      <c r="A7" t="s">
        <v>14</v>
      </c>
      <c r="B7" t="s">
        <v>16</v>
      </c>
      <c r="C7">
        <v>2021</v>
      </c>
      <c r="D7">
        <v>0.85347754203123805</v>
      </c>
      <c r="E7" s="9">
        <v>0.84644385208731199</v>
      </c>
      <c r="F7">
        <v>2.8247750778819E-3</v>
      </c>
      <c r="G7">
        <v>4.2089148660439998E-3</v>
      </c>
    </row>
    <row r="8" spans="1:9" x14ac:dyDescent="0.25">
      <c r="A8" t="s">
        <v>17</v>
      </c>
      <c r="B8" t="s">
        <v>18</v>
      </c>
      <c r="C8">
        <v>2021</v>
      </c>
      <c r="D8" s="9">
        <v>0.296672733159485</v>
      </c>
    </row>
    <row r="9" spans="1:9" x14ac:dyDescent="0.25">
      <c r="A9" t="s">
        <v>17</v>
      </c>
      <c r="B9" t="s">
        <v>19</v>
      </c>
      <c r="C9">
        <v>2021</v>
      </c>
      <c r="D9">
        <v>0</v>
      </c>
    </row>
    <row r="10" spans="1:9" x14ac:dyDescent="0.25">
      <c r="A10" t="s">
        <v>20</v>
      </c>
      <c r="B10" t="s">
        <v>21</v>
      </c>
      <c r="C10">
        <v>2020</v>
      </c>
      <c r="D10" s="9">
        <v>0.84624822616992001</v>
      </c>
    </row>
    <row r="11" spans="1:9" x14ac:dyDescent="0.25">
      <c r="A11" t="s">
        <v>20</v>
      </c>
      <c r="B11" t="s">
        <v>22</v>
      </c>
      <c r="C11">
        <v>2020</v>
      </c>
      <c r="D11" s="9">
        <v>0.56876476837904399</v>
      </c>
    </row>
    <row r="12" spans="1:9" x14ac:dyDescent="0.25">
      <c r="A12" t="s">
        <v>20</v>
      </c>
      <c r="B12" t="s">
        <v>23</v>
      </c>
      <c r="C12">
        <v>2020</v>
      </c>
      <c r="D12">
        <v>7.7129025483171701E-2</v>
      </c>
    </row>
    <row r="13" spans="1:9" x14ac:dyDescent="0.25">
      <c r="A13" t="s">
        <v>20</v>
      </c>
      <c r="B13" t="s">
        <v>24</v>
      </c>
      <c r="C13">
        <v>2020</v>
      </c>
      <c r="D13" s="9">
        <v>0.72763521815099397</v>
      </c>
    </row>
    <row r="14" spans="1:9" x14ac:dyDescent="0.25">
      <c r="A14" t="s">
        <v>20</v>
      </c>
      <c r="B14" t="s">
        <v>25</v>
      </c>
      <c r="C14">
        <v>2020</v>
      </c>
      <c r="D14" s="9">
        <v>0.10990854108648</v>
      </c>
    </row>
    <row r="15" spans="1:9" x14ac:dyDescent="0.25">
      <c r="A15" t="s">
        <v>26</v>
      </c>
      <c r="B15" t="s">
        <v>27</v>
      </c>
      <c r="C15">
        <v>2017</v>
      </c>
      <c r="D15">
        <v>1.107480401395E-4</v>
      </c>
    </row>
    <row r="16" spans="1:9" x14ac:dyDescent="0.25">
      <c r="A16" t="s">
        <v>26</v>
      </c>
      <c r="B16" t="s">
        <v>28</v>
      </c>
      <c r="C16">
        <v>2017</v>
      </c>
      <c r="D16">
        <v>1.4273378088711E-2</v>
      </c>
    </row>
    <row r="17" spans="1:12" x14ac:dyDescent="0.25">
      <c r="A17" t="s">
        <v>26</v>
      </c>
      <c r="B17" t="s">
        <v>29</v>
      </c>
      <c r="C17">
        <v>2017</v>
      </c>
      <c r="D17" s="10">
        <v>2.2926563801164301E-5</v>
      </c>
    </row>
    <row r="18" spans="1:12" x14ac:dyDescent="0.25">
      <c r="A18" t="s">
        <v>30</v>
      </c>
      <c r="B18" t="s">
        <v>31</v>
      </c>
      <c r="C18">
        <v>2021</v>
      </c>
      <c r="D18">
        <v>7.9002567811352301E-2</v>
      </c>
    </row>
    <row r="19" spans="1:12" x14ac:dyDescent="0.25">
      <c r="A19" t="s">
        <v>32</v>
      </c>
      <c r="B19" t="s">
        <v>33</v>
      </c>
      <c r="C19">
        <v>2015</v>
      </c>
      <c r="D19">
        <v>-0.63701109979100001</v>
      </c>
    </row>
    <row r="20" spans="1:12" x14ac:dyDescent="0.25">
      <c r="A20" t="s">
        <v>32</v>
      </c>
      <c r="B20" t="s">
        <v>34</v>
      </c>
      <c r="C20">
        <v>2015</v>
      </c>
      <c r="D20">
        <v>-6.0556144190299997E-2</v>
      </c>
    </row>
    <row r="21" spans="1:12" x14ac:dyDescent="0.25">
      <c r="A21" t="s">
        <v>32</v>
      </c>
      <c r="B21" t="s">
        <v>35</v>
      </c>
      <c r="C21">
        <v>2015</v>
      </c>
      <c r="D21">
        <v>-3.9664491190499897E-2</v>
      </c>
    </row>
    <row r="22" spans="1:12" x14ac:dyDescent="0.25">
      <c r="C22" s="1"/>
      <c r="D22">
        <f>SUM(D2:D21)</f>
        <v>6.6711326020330963</v>
      </c>
    </row>
    <row r="23" spans="1:12" x14ac:dyDescent="0.25">
      <c r="C23" s="1"/>
    </row>
    <row r="25" spans="1:12" x14ac:dyDescent="0.25">
      <c r="H25" s="9"/>
      <c r="I25" s="9"/>
      <c r="J25" s="9"/>
    </row>
    <row r="27" spans="1:12" x14ac:dyDescent="0.25">
      <c r="H27" s="9"/>
      <c r="I27" s="9"/>
      <c r="J27" s="9"/>
    </row>
    <row r="29" spans="1:12" x14ac:dyDescent="0.25">
      <c r="H29" s="9"/>
      <c r="I29" s="9"/>
      <c r="J29" s="9"/>
      <c r="K29" s="9"/>
    </row>
    <row r="30" spans="1:12" x14ac:dyDescent="0.25">
      <c r="I30" s="9"/>
      <c r="K30" s="9"/>
      <c r="L30" s="9"/>
    </row>
    <row r="31" spans="1:12" x14ac:dyDescent="0.25">
      <c r="H31" s="9"/>
      <c r="I31" s="9"/>
      <c r="J31" s="9"/>
    </row>
    <row r="32" spans="1:12" x14ac:dyDescent="0.25">
      <c r="I32" s="9"/>
      <c r="J32" s="9"/>
    </row>
    <row r="33" spans="3:9" x14ac:dyDescent="0.25">
      <c r="H33" s="9"/>
      <c r="I33" s="9"/>
    </row>
    <row r="35" spans="3:9" x14ac:dyDescent="0.25">
      <c r="H35" s="9"/>
      <c r="I35" s="9"/>
    </row>
    <row r="36" spans="3:9" x14ac:dyDescent="0.25">
      <c r="H36" s="9"/>
      <c r="I36" s="9"/>
    </row>
    <row r="37" spans="3:9" x14ac:dyDescent="0.25">
      <c r="H37" s="9"/>
      <c r="I37" s="9"/>
    </row>
    <row r="39" spans="3:9" x14ac:dyDescent="0.25">
      <c r="I39" s="9"/>
    </row>
    <row r="40" spans="3:9" x14ac:dyDescent="0.25">
      <c r="H40" s="10"/>
      <c r="I40" s="9"/>
    </row>
    <row r="47" spans="3:9" x14ac:dyDescent="0.25">
      <c r="C47" s="1"/>
    </row>
    <row r="48" spans="3:9" x14ac:dyDescent="0.25">
      <c r="C48" s="1"/>
    </row>
    <row r="49" spans="3:3" x14ac:dyDescent="0.25">
      <c r="C49" s="1"/>
    </row>
    <row r="50" spans="3:3" x14ac:dyDescent="0.25">
      <c r="C50" s="1"/>
    </row>
    <row r="51" spans="3:3" x14ac:dyDescent="0.25">
      <c r="C51" s="1"/>
    </row>
    <row r="52" spans="3:3" x14ac:dyDescent="0.25">
      <c r="C52" s="1"/>
    </row>
    <row r="53" spans="3:3" x14ac:dyDescent="0.25">
      <c r="C53" s="1"/>
    </row>
    <row r="54" spans="3:3" x14ac:dyDescent="0.25">
      <c r="C54" s="1"/>
    </row>
    <row r="55" spans="3:3" x14ac:dyDescent="0.25">
      <c r="C55" s="1"/>
    </row>
    <row r="56" spans="3:3" x14ac:dyDescent="0.25">
      <c r="C56" s="1"/>
    </row>
    <row r="57" spans="3:3" x14ac:dyDescent="0.25">
      <c r="C57" s="1"/>
    </row>
    <row r="58" spans="3:3" x14ac:dyDescent="0.25">
      <c r="C58" s="1"/>
    </row>
    <row r="59" spans="3:3" x14ac:dyDescent="0.25">
      <c r="C59" s="1"/>
    </row>
    <row r="60" spans="3:3" x14ac:dyDescent="0.25">
      <c r="C60" s="1"/>
    </row>
    <row r="61" spans="3:3" x14ac:dyDescent="0.25">
      <c r="C6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001DD-1D68-47DB-B5E5-7C72B6A4DFF4}">
  <dimension ref="A1:G41"/>
  <sheetViews>
    <sheetView tabSelected="1" zoomScale="94" zoomScaleNormal="85" workbookViewId="0">
      <selection activeCell="F15" sqref="F15"/>
    </sheetView>
  </sheetViews>
  <sheetFormatPr defaultRowHeight="15" x14ac:dyDescent="0.25"/>
  <cols>
    <col min="5" max="5" width="13.140625" bestFit="1" customWidth="1"/>
    <col min="6" max="6" width="26.140625" bestFit="1" customWidth="1"/>
    <col min="7" max="7" width="27" bestFit="1" customWidth="1"/>
  </cols>
  <sheetData>
    <row r="1" spans="1:7" ht="60" x14ac:dyDescent="0.25">
      <c r="A1" t="s">
        <v>303</v>
      </c>
      <c r="B1" t="s">
        <v>36</v>
      </c>
      <c r="C1" t="s">
        <v>304</v>
      </c>
      <c r="D1" s="3" t="s">
        <v>305</v>
      </c>
      <c r="E1" s="3" t="s">
        <v>306</v>
      </c>
      <c r="F1" t="s">
        <v>307</v>
      </c>
      <c r="G1" t="s">
        <v>308</v>
      </c>
    </row>
    <row r="2" spans="1:7" x14ac:dyDescent="0.25">
      <c r="A2" t="s">
        <v>309</v>
      </c>
      <c r="B2" t="s">
        <v>310</v>
      </c>
      <c r="C2" t="s">
        <v>311</v>
      </c>
      <c r="D2">
        <v>-0.1</v>
      </c>
      <c r="E2" s="11">
        <f>D2*Summary!D5</f>
        <v>-2.0892621056045001E-3</v>
      </c>
      <c r="F2" s="11">
        <f>SUM(E2:E4)</f>
        <v>-6.2677863168134982E-3</v>
      </c>
      <c r="G2" s="11">
        <f>F2</f>
        <v>-6.2677863168134982E-3</v>
      </c>
    </row>
    <row r="3" spans="1:7" x14ac:dyDescent="0.25">
      <c r="C3" t="s">
        <v>312</v>
      </c>
      <c r="D3">
        <v>-0.3</v>
      </c>
      <c r="E3">
        <f>D3*Summary!D5</f>
        <v>-6.2677863168134991E-3</v>
      </c>
    </row>
    <row r="4" spans="1:7" x14ac:dyDescent="0.25">
      <c r="C4" t="s">
        <v>313</v>
      </c>
      <c r="D4">
        <v>0.1</v>
      </c>
      <c r="E4">
        <f>D4*Summary!D5</f>
        <v>2.0892621056045001E-3</v>
      </c>
    </row>
    <row r="5" spans="1:7" x14ac:dyDescent="0.25">
      <c r="A5" t="s">
        <v>314</v>
      </c>
      <c r="B5" t="s">
        <v>310</v>
      </c>
      <c r="C5" t="s">
        <v>311</v>
      </c>
      <c r="D5">
        <v>-0.1</v>
      </c>
      <c r="E5" s="11">
        <f>D5*Summary!D5</f>
        <v>-2.0892621056045001E-3</v>
      </c>
      <c r="F5" s="11">
        <f>SUM(E5:E7)</f>
        <v>-6.2677863168134982E-3</v>
      </c>
      <c r="G5" s="11">
        <f>SUM(F5,F8)</f>
        <v>-0.58413344080370255</v>
      </c>
    </row>
    <row r="6" spans="1:7" x14ac:dyDescent="0.25">
      <c r="C6" t="s">
        <v>312</v>
      </c>
      <c r="D6">
        <v>-0.3</v>
      </c>
      <c r="E6">
        <f>D6*Summary!D5</f>
        <v>-6.2677863168134991E-3</v>
      </c>
    </row>
    <row r="7" spans="1:7" x14ac:dyDescent="0.25">
      <c r="C7" t="s">
        <v>313</v>
      </c>
      <c r="D7">
        <v>0.1</v>
      </c>
      <c r="E7" s="11">
        <f>D7*Summary!D5</f>
        <v>2.0892621056045001E-3</v>
      </c>
    </row>
    <row r="8" spans="1:7" x14ac:dyDescent="0.25">
      <c r="B8" t="s">
        <v>315</v>
      </c>
      <c r="C8" t="s">
        <v>311</v>
      </c>
      <c r="D8">
        <v>0.2</v>
      </c>
      <c r="E8">
        <f>D8*Summary!D5</f>
        <v>4.1785242112090002E-3</v>
      </c>
      <c r="F8">
        <f>SUM(E8:E10)</f>
        <v>-0.57786565448688909</v>
      </c>
    </row>
    <row r="9" spans="1:7" x14ac:dyDescent="0.25">
      <c r="C9" t="s">
        <v>316</v>
      </c>
      <c r="D9">
        <v>-0.2</v>
      </c>
      <c r="E9">
        <f>D9*Summary!D2</f>
        <v>-0.21247554322973602</v>
      </c>
    </row>
    <row r="10" spans="1:7" x14ac:dyDescent="0.25">
      <c r="C10" t="s">
        <v>317</v>
      </c>
      <c r="D10">
        <v>-0.2</v>
      </c>
      <c r="E10">
        <f>D10*Summary!D4</f>
        <v>-0.36956863546836205</v>
      </c>
    </row>
    <row r="11" spans="1:7" x14ac:dyDescent="0.25">
      <c r="B11" t="s">
        <v>345</v>
      </c>
      <c r="C11" t="s">
        <v>311</v>
      </c>
      <c r="D11">
        <v>-0.1</v>
      </c>
      <c r="E11">
        <f>D11*Summary!D5</f>
        <v>-2.0892621056045001E-3</v>
      </c>
      <c r="F11">
        <f>SUM(E11:E13)</f>
        <v>-0.47789566918883458</v>
      </c>
    </row>
    <row r="12" spans="1:7" x14ac:dyDescent="0.25">
      <c r="C12" t="s">
        <v>316</v>
      </c>
      <c r="D12">
        <v>-0.1</v>
      </c>
      <c r="E12">
        <f>D12*Summary!D2</f>
        <v>-0.10623777161486801</v>
      </c>
    </row>
    <row r="13" spans="1:7" x14ac:dyDescent="0.25">
      <c r="C13" t="s">
        <v>317</v>
      </c>
      <c r="D13">
        <v>-0.2</v>
      </c>
      <c r="E13">
        <f>D13*Summary!D4</f>
        <v>-0.36956863546836205</v>
      </c>
    </row>
    <row r="14" spans="1:7" x14ac:dyDescent="0.25">
      <c r="A14" t="s">
        <v>318</v>
      </c>
      <c r="B14" t="s">
        <v>319</v>
      </c>
      <c r="C14" t="s">
        <v>316</v>
      </c>
      <c r="D14">
        <v>-0.2</v>
      </c>
      <c r="E14">
        <f>D14*Summary!D2</f>
        <v>-0.21247554322973602</v>
      </c>
      <c r="F14">
        <f>SUM(E14:E18)</f>
        <v>-1.2426349035155091</v>
      </c>
      <c r="G14">
        <f>F14</f>
        <v>-1.2426349035155091</v>
      </c>
    </row>
    <row r="15" spans="1:7" x14ac:dyDescent="0.25">
      <c r="C15" t="s">
        <v>317</v>
      </c>
      <c r="D15">
        <v>-0.2</v>
      </c>
      <c r="E15">
        <f>D15*Summary!D4</f>
        <v>-0.36956863546836205</v>
      </c>
    </row>
    <row r="16" spans="1:7" x14ac:dyDescent="0.25">
      <c r="C16" t="s">
        <v>320</v>
      </c>
      <c r="D16">
        <v>-0.3</v>
      </c>
      <c r="E16">
        <f>D16*Summary!D2</f>
        <v>-0.31871331484460402</v>
      </c>
    </row>
    <row r="17" spans="1:7" x14ac:dyDescent="0.25">
      <c r="C17" t="s">
        <v>321</v>
      </c>
      <c r="D17">
        <v>-0.3</v>
      </c>
      <c r="E17">
        <f>D17*Summary!D4</f>
        <v>-0.55435295320254296</v>
      </c>
    </row>
    <row r="18" spans="1:7" x14ac:dyDescent="0.25">
      <c r="C18" t="s">
        <v>313</v>
      </c>
      <c r="D18">
        <v>0.2</v>
      </c>
      <c r="E18">
        <f>D18*Summary!D2</f>
        <v>0.21247554322973602</v>
      </c>
    </row>
    <row r="19" spans="1:7" x14ac:dyDescent="0.25">
      <c r="A19" t="s">
        <v>322</v>
      </c>
      <c r="B19" t="s">
        <v>323</v>
      </c>
      <c r="C19" t="s">
        <v>324</v>
      </c>
      <c r="D19">
        <v>-0.2</v>
      </c>
      <c r="E19">
        <f>D19*(Summary!D6+Summary!D7)</f>
        <v>-0.34392944374063661</v>
      </c>
      <c r="F19">
        <f>SUM(E19:E21)</f>
        <v>-0.94517136355471532</v>
      </c>
      <c r="G19">
        <f>F19</f>
        <v>-0.94517136355471532</v>
      </c>
    </row>
    <row r="20" spans="1:7" x14ac:dyDescent="0.25">
      <c r="C20" t="s">
        <v>313</v>
      </c>
      <c r="D20">
        <v>-0.3</v>
      </c>
      <c r="E20">
        <f>D20*(Summary!D6+Summary!D7)</f>
        <v>-0.51589416561095491</v>
      </c>
    </row>
    <row r="21" spans="1:7" x14ac:dyDescent="0.25">
      <c r="C21" t="s">
        <v>325</v>
      </c>
      <c r="D21">
        <v>-0.1</v>
      </c>
      <c r="E21">
        <f>D21*Summary!D7</f>
        <v>-8.5347754203123807E-2</v>
      </c>
    </row>
    <row r="22" spans="1:7" x14ac:dyDescent="0.25">
      <c r="A22" t="s">
        <v>326</v>
      </c>
      <c r="B22" t="s">
        <v>323</v>
      </c>
      <c r="C22" t="s">
        <v>324</v>
      </c>
      <c r="D22">
        <v>-0.2</v>
      </c>
      <c r="E22">
        <f>D22*(Summary!D6+Summary!D7)</f>
        <v>-0.34392944374063661</v>
      </c>
      <c r="F22">
        <f>SUM(E22:E24)</f>
        <v>-0.94517136355471532</v>
      </c>
      <c r="G22">
        <f>SUM(F22,F25,F26)</f>
        <v>-1.8049949729063068</v>
      </c>
    </row>
    <row r="23" spans="1:7" x14ac:dyDescent="0.25">
      <c r="C23" t="s">
        <v>313</v>
      </c>
      <c r="D23">
        <v>-0.3</v>
      </c>
      <c r="E23">
        <f>D23*(Summary!D6+Summary!D7)</f>
        <v>-0.51589416561095491</v>
      </c>
    </row>
    <row r="24" spans="1:7" x14ac:dyDescent="0.25">
      <c r="C24" t="s">
        <v>325</v>
      </c>
      <c r="D24">
        <v>-0.1</v>
      </c>
      <c r="E24">
        <f>D24*Summary!D7</f>
        <v>-8.5347754203123807E-2</v>
      </c>
    </row>
    <row r="25" spans="1:7" x14ac:dyDescent="0.25">
      <c r="B25" t="s">
        <v>327</v>
      </c>
      <c r="C25" t="s">
        <v>313</v>
      </c>
      <c r="D25">
        <v>-0.3</v>
      </c>
      <c r="E25">
        <f>D25*(Summary!D6+Summary!D7)</f>
        <v>-0.51589416561095491</v>
      </c>
      <c r="F25">
        <f>E25</f>
        <v>-0.51589416561095491</v>
      </c>
    </row>
    <row r="26" spans="1:7" x14ac:dyDescent="0.25">
      <c r="B26" t="s">
        <v>328</v>
      </c>
      <c r="C26" t="s">
        <v>313</v>
      </c>
      <c r="D26">
        <v>-0.2</v>
      </c>
      <c r="E26">
        <f>D26*(Summary!D6+Summary!D7)</f>
        <v>-0.34392944374063661</v>
      </c>
      <c r="F26">
        <f t="shared" ref="F26:F28" si="0">E26</f>
        <v>-0.34392944374063661</v>
      </c>
    </row>
    <row r="27" spans="1:7" x14ac:dyDescent="0.25">
      <c r="A27" t="s">
        <v>329</v>
      </c>
      <c r="B27" t="s">
        <v>327</v>
      </c>
      <c r="C27" t="s">
        <v>313</v>
      </c>
      <c r="D27">
        <v>-0.3</v>
      </c>
      <c r="E27">
        <f>D27*(Summary!D6+Summary!D7)</f>
        <v>-0.51589416561095491</v>
      </c>
      <c r="F27">
        <f t="shared" si="0"/>
        <v>-0.51589416561095491</v>
      </c>
      <c r="G27">
        <f>SUM(F27:F28)</f>
        <v>-1.0317883312219098</v>
      </c>
    </row>
    <row r="28" spans="1:7" x14ac:dyDescent="0.25">
      <c r="B28" t="s">
        <v>328</v>
      </c>
      <c r="C28" t="s">
        <v>313</v>
      </c>
      <c r="D28">
        <v>-0.3</v>
      </c>
      <c r="E28">
        <f>D28*(Summary!D6+Summary!D7)</f>
        <v>-0.51589416561095491</v>
      </c>
      <c r="F28">
        <f t="shared" si="0"/>
        <v>-0.51589416561095491</v>
      </c>
    </row>
    <row r="29" spans="1:7" x14ac:dyDescent="0.25">
      <c r="A29" t="s">
        <v>310</v>
      </c>
      <c r="B29" t="s">
        <v>330</v>
      </c>
      <c r="C29" t="s">
        <v>331</v>
      </c>
      <c r="D29">
        <v>-0.1</v>
      </c>
      <c r="E29">
        <f>D29*SUM(Summary!D10:D12)</f>
        <v>-0.14921420200321359</v>
      </c>
      <c r="F29">
        <f>SUM(E29:E31)</f>
        <v>-0.99364697941429536</v>
      </c>
      <c r="G29">
        <f>SUM(F29,F32)</f>
        <v>-1.9872939588285907</v>
      </c>
    </row>
    <row r="30" spans="1:7" x14ac:dyDescent="0.25">
      <c r="C30" t="s">
        <v>332</v>
      </c>
      <c r="D30">
        <v>-0.2</v>
      </c>
      <c r="E30">
        <f>D30*Summary!D13</f>
        <v>-0.1455270436301988</v>
      </c>
    </row>
    <row r="31" spans="1:7" x14ac:dyDescent="0.25">
      <c r="C31" t="s">
        <v>333</v>
      </c>
      <c r="D31">
        <v>-0.3</v>
      </c>
      <c r="E31">
        <f>D31*SUM(Summary!D10:D14)</f>
        <v>-0.69890573378088294</v>
      </c>
    </row>
    <row r="32" spans="1:7" x14ac:dyDescent="0.25">
      <c r="B32" t="s">
        <v>334</v>
      </c>
      <c r="C32" t="s">
        <v>331</v>
      </c>
      <c r="D32">
        <v>-0.1</v>
      </c>
      <c r="E32">
        <f>D32*SUM(Summary!D10:D12)</f>
        <v>-0.14921420200321359</v>
      </c>
      <c r="F32">
        <f>SUM(E32:E34)</f>
        <v>-0.99364697941429536</v>
      </c>
    </row>
    <row r="33" spans="1:7" x14ac:dyDescent="0.25">
      <c r="C33" t="s">
        <v>332</v>
      </c>
      <c r="D33">
        <v>-0.2</v>
      </c>
      <c r="E33">
        <f>D33*Summary!D13</f>
        <v>-0.1455270436301988</v>
      </c>
    </row>
    <row r="34" spans="1:7" x14ac:dyDescent="0.25">
      <c r="C34" t="s">
        <v>333</v>
      </c>
      <c r="D34">
        <v>-0.3</v>
      </c>
      <c r="E34">
        <f>D34*SUM(Summary!D10:D14)</f>
        <v>-0.69890573378088294</v>
      </c>
    </row>
    <row r="35" spans="1:7" x14ac:dyDescent="0.25">
      <c r="A35" t="s">
        <v>315</v>
      </c>
      <c r="B35" t="s">
        <v>334</v>
      </c>
      <c r="C35" t="s">
        <v>331</v>
      </c>
      <c r="D35">
        <v>-0.1</v>
      </c>
      <c r="E35">
        <f>D35*SUM(Summary!D10:D12)</f>
        <v>-0.14921420200321359</v>
      </c>
      <c r="F35">
        <f>SUM(E35:E37)</f>
        <v>-0.99364697941429536</v>
      </c>
      <c r="G35">
        <f>F35</f>
        <v>-0.99364697941429536</v>
      </c>
    </row>
    <row r="36" spans="1:7" x14ac:dyDescent="0.25">
      <c r="C36" t="s">
        <v>332</v>
      </c>
      <c r="D36">
        <v>-0.2</v>
      </c>
      <c r="E36">
        <f>D36*Summary!D13</f>
        <v>-0.1455270436301988</v>
      </c>
    </row>
    <row r="37" spans="1:7" x14ac:dyDescent="0.25">
      <c r="C37" t="s">
        <v>333</v>
      </c>
      <c r="D37">
        <v>-0.3</v>
      </c>
      <c r="E37">
        <f>D37*SUM(Summary!D10:D14)</f>
        <v>-0.69890573378088294</v>
      </c>
    </row>
    <row r="38" spans="1:7" x14ac:dyDescent="0.25">
      <c r="A38" t="s">
        <v>335</v>
      </c>
      <c r="B38" t="s">
        <v>336</v>
      </c>
      <c r="C38" t="s">
        <v>337</v>
      </c>
      <c r="D38">
        <v>-0.2</v>
      </c>
      <c r="E38">
        <f>D38*Summary!D18</f>
        <v>-1.5800513562270461E-2</v>
      </c>
      <c r="F38">
        <f>E38</f>
        <v>-1.5800513562270461E-2</v>
      </c>
      <c r="G38">
        <f>F38</f>
        <v>-1.5800513562270461E-2</v>
      </c>
    </row>
    <row r="39" spans="1:7" x14ac:dyDescent="0.25">
      <c r="A39" t="s">
        <v>338</v>
      </c>
      <c r="B39" t="s">
        <v>339</v>
      </c>
      <c r="C39" t="s">
        <v>340</v>
      </c>
      <c r="D39">
        <v>-0.1</v>
      </c>
      <c r="E39" s="12">
        <f>D39*SUM(Summary!D15:D17)</f>
        <v>-1.4407052692651666E-3</v>
      </c>
      <c r="F39">
        <f t="shared" ref="F39:F41" si="1">E39</f>
        <v>-1.4407052692651666E-3</v>
      </c>
      <c r="G39">
        <f>SUM(F39:F40)</f>
        <v>-4.3221158077955003E-3</v>
      </c>
    </row>
    <row r="40" spans="1:7" x14ac:dyDescent="0.25">
      <c r="B40" t="s">
        <v>341</v>
      </c>
      <c r="C40" t="s">
        <v>340</v>
      </c>
      <c r="D40">
        <v>-0.2</v>
      </c>
      <c r="E40" s="12">
        <f>D40*SUM(Summary!D15:D17)</f>
        <v>-2.8814105385303332E-3</v>
      </c>
      <c r="F40">
        <f t="shared" si="1"/>
        <v>-2.8814105385303332E-3</v>
      </c>
    </row>
    <row r="41" spans="1:7" x14ac:dyDescent="0.25">
      <c r="A41" t="s">
        <v>342</v>
      </c>
      <c r="B41" t="s">
        <v>343</v>
      </c>
      <c r="C41" t="s">
        <v>344</v>
      </c>
      <c r="D41">
        <v>-0.2</v>
      </c>
      <c r="E41">
        <f>D41*SUM(Summary!D19:D21)</f>
        <v>0.14744634703435996</v>
      </c>
      <c r="F41">
        <f t="shared" si="1"/>
        <v>0.14744634703435996</v>
      </c>
      <c r="G41">
        <f>F41</f>
        <v>0.14744634703435996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56"/>
  <sheetViews>
    <sheetView topLeftCell="D1" zoomScale="81" zoomScaleNormal="180" workbookViewId="0">
      <selection activeCell="BA28" sqref="BA28"/>
    </sheetView>
  </sheetViews>
  <sheetFormatPr defaultColWidth="8.85546875" defaultRowHeight="15" x14ac:dyDescent="0.25"/>
  <cols>
    <col min="1" max="1" width="8.42578125" customWidth="1"/>
    <col min="2" max="2" width="85.7109375" customWidth="1"/>
    <col min="3" max="9" width="4" customWidth="1"/>
    <col min="10" max="10" width="3.7109375" customWidth="1"/>
    <col min="11" max="12" width="4" customWidth="1"/>
    <col min="13" max="15" width="4.5703125" bestFit="1" customWidth="1"/>
    <col min="16" max="24" width="3.7109375" customWidth="1"/>
    <col min="25" max="26" width="4.7109375" bestFit="1" customWidth="1"/>
    <col min="27" max="35" width="3.7109375" customWidth="1"/>
    <col min="36" max="39" width="4.85546875" bestFit="1" customWidth="1"/>
    <col min="40" max="42" width="4.85546875" customWidth="1"/>
    <col min="43" max="43" width="4" customWidth="1"/>
    <col min="44" max="47" width="3.7109375" customWidth="1"/>
    <col min="48" max="51" width="4.28515625" bestFit="1" customWidth="1"/>
    <col min="52" max="52" width="24.5703125" customWidth="1"/>
    <col min="53" max="53" width="25.28515625" bestFit="1" customWidth="1"/>
    <col min="54" max="54" width="23.5703125" customWidth="1"/>
    <col min="55" max="55" width="51.7109375" bestFit="1" customWidth="1"/>
    <col min="56" max="56" width="13.7109375" bestFit="1" customWidth="1"/>
    <col min="57" max="57" width="24.42578125" bestFit="1" customWidth="1"/>
    <col min="58" max="58" width="18" bestFit="1" customWidth="1"/>
    <col min="59" max="59" width="23.85546875" customWidth="1"/>
    <col min="60" max="60" width="34.28515625" bestFit="1" customWidth="1"/>
    <col min="61" max="61" width="33.140625" customWidth="1"/>
    <col min="62" max="62" width="35.28515625" bestFit="1" customWidth="1"/>
    <col min="63" max="63" width="127.140625" bestFit="1" customWidth="1"/>
  </cols>
  <sheetData>
    <row r="1" spans="1:71" x14ac:dyDescent="0.25">
      <c r="A1" t="s">
        <v>36</v>
      </c>
      <c r="B1" t="s">
        <v>37</v>
      </c>
      <c r="C1" t="s">
        <v>38</v>
      </c>
      <c r="D1" t="s">
        <v>39</v>
      </c>
      <c r="E1" t="s">
        <v>40</v>
      </c>
      <c r="F1" t="s">
        <v>41</v>
      </c>
      <c r="G1" t="s">
        <v>42</v>
      </c>
      <c r="H1" t="s">
        <v>43</v>
      </c>
      <c r="I1" t="s">
        <v>44</v>
      </c>
      <c r="J1" t="s">
        <v>45</v>
      </c>
      <c r="K1" t="s">
        <v>46</v>
      </c>
      <c r="L1" t="s">
        <v>47</v>
      </c>
      <c r="M1" t="s">
        <v>48</v>
      </c>
      <c r="N1" t="s">
        <v>49</v>
      </c>
      <c r="O1" t="s">
        <v>50</v>
      </c>
      <c r="P1" t="s">
        <v>51</v>
      </c>
      <c r="Q1" t="s">
        <v>52</v>
      </c>
      <c r="R1" t="s">
        <v>53</v>
      </c>
      <c r="S1" t="s">
        <v>54</v>
      </c>
      <c r="T1" t="s">
        <v>55</v>
      </c>
      <c r="U1" t="s">
        <v>56</v>
      </c>
      <c r="V1" t="s">
        <v>57</v>
      </c>
      <c r="W1" t="s">
        <v>58</v>
      </c>
      <c r="X1" t="s">
        <v>59</v>
      </c>
      <c r="Y1" t="s">
        <v>60</v>
      </c>
      <c r="Z1" t="s">
        <v>61</v>
      </c>
      <c r="AA1" t="s">
        <v>62</v>
      </c>
      <c r="AB1" t="s">
        <v>63</v>
      </c>
      <c r="AC1" t="s">
        <v>64</v>
      </c>
      <c r="AD1" t="s">
        <v>65</v>
      </c>
      <c r="AE1" t="s">
        <v>66</v>
      </c>
      <c r="AF1" t="s">
        <v>67</v>
      </c>
      <c r="AG1" t="s">
        <v>68</v>
      </c>
      <c r="AH1" t="s">
        <v>69</v>
      </c>
      <c r="AI1" t="s">
        <v>70</v>
      </c>
      <c r="AJ1" t="s">
        <v>71</v>
      </c>
      <c r="AK1" t="s">
        <v>72</v>
      </c>
      <c r="AL1" t="s">
        <v>73</v>
      </c>
      <c r="AM1" t="s">
        <v>74</v>
      </c>
      <c r="AN1" t="s">
        <v>75</v>
      </c>
      <c r="AO1" t="s">
        <v>76</v>
      </c>
      <c r="AP1" t="s">
        <v>77</v>
      </c>
      <c r="AQ1" t="s">
        <v>78</v>
      </c>
      <c r="AR1" t="s">
        <v>79</v>
      </c>
      <c r="AS1" t="s">
        <v>80</v>
      </c>
      <c r="AT1" t="s">
        <v>81</v>
      </c>
      <c r="AU1" t="s">
        <v>82</v>
      </c>
      <c r="AV1" t="s">
        <v>83</v>
      </c>
      <c r="AW1" t="s">
        <v>84</v>
      </c>
      <c r="AX1" t="s">
        <v>85</v>
      </c>
      <c r="AY1" t="s">
        <v>86</v>
      </c>
      <c r="AZ1" t="s">
        <v>87</v>
      </c>
      <c r="BA1" t="s">
        <v>88</v>
      </c>
      <c r="BB1" t="s">
        <v>89</v>
      </c>
      <c r="BC1" t="s">
        <v>90</v>
      </c>
      <c r="BD1" t="s">
        <v>91</v>
      </c>
      <c r="BE1" t="s">
        <v>92</v>
      </c>
      <c r="BF1" t="s">
        <v>91</v>
      </c>
      <c r="BG1" t="s">
        <v>93</v>
      </c>
      <c r="BH1" t="s">
        <v>94</v>
      </c>
      <c r="BI1" t="s">
        <v>95</v>
      </c>
      <c r="BJ1" t="s">
        <v>94</v>
      </c>
      <c r="BK1" t="s">
        <v>96</v>
      </c>
    </row>
    <row r="2" spans="1:71" x14ac:dyDescent="0.25">
      <c r="A2" t="s">
        <v>97</v>
      </c>
      <c r="B2" s="3" t="s">
        <v>98</v>
      </c>
      <c r="C2" s="3" t="s">
        <v>99</v>
      </c>
      <c r="D2" s="3"/>
      <c r="E2" s="3"/>
      <c r="F2" s="3"/>
      <c r="G2" s="3"/>
      <c r="H2" s="3"/>
      <c r="I2" s="3"/>
      <c r="K2" s="3"/>
      <c r="L2" s="3"/>
      <c r="AZ2">
        <f>0.1*Summary!D5-1000000000*0.1*Calculation!L5/(3000*2204.62*1000000)</f>
        <v>2.0892621056045001E-3</v>
      </c>
      <c r="BA2">
        <f>AZ2*1000</f>
        <v>2.0892621056045</v>
      </c>
      <c r="BB2">
        <f>AZ2/Summary!D$22*100</f>
        <v>3.1317951991656948E-2</v>
      </c>
      <c r="BC2" s="5" t="s">
        <v>100</v>
      </c>
      <c r="BD2" s="5">
        <v>10</v>
      </c>
      <c r="BE2" s="5"/>
      <c r="BF2" s="5"/>
      <c r="BG2" s="5" t="s">
        <v>100</v>
      </c>
      <c r="BH2" s="5" t="s">
        <v>101</v>
      </c>
      <c r="BI2" s="5"/>
      <c r="BJ2" s="5"/>
      <c r="BK2" t="s">
        <v>102</v>
      </c>
    </row>
    <row r="3" spans="1:71" ht="30" x14ac:dyDescent="0.25">
      <c r="A3" t="s">
        <v>103</v>
      </c>
      <c r="B3" s="3" t="s">
        <v>104</v>
      </c>
      <c r="C3" s="3"/>
      <c r="D3" s="3" t="s">
        <v>99</v>
      </c>
      <c r="E3" s="3"/>
      <c r="F3" s="3"/>
      <c r="G3" s="3"/>
      <c r="H3" s="3"/>
      <c r="I3" s="3"/>
      <c r="K3" s="3"/>
      <c r="L3" s="3"/>
      <c r="AZ3">
        <f>0.05*Summary!D4</f>
        <v>9.2392158867090513E-2</v>
      </c>
      <c r="BA3">
        <f t="shared" ref="BA3:BA37" si="0">AZ3*1000</f>
        <v>92.392158867090515</v>
      </c>
      <c r="BB3">
        <f>AZ3/Summary!D$22*100</f>
        <v>1.3849546153367278</v>
      </c>
      <c r="BC3" s="5" t="s">
        <v>105</v>
      </c>
      <c r="BD3" s="5">
        <v>5</v>
      </c>
      <c r="BI3" s="5"/>
      <c r="BJ3" s="5"/>
      <c r="BK3" s="5" t="s">
        <v>106</v>
      </c>
      <c r="BL3" s="5"/>
      <c r="BM3" s="5"/>
      <c r="BN3" s="5"/>
      <c r="BQ3" s="5"/>
      <c r="BR3" s="5"/>
      <c r="BS3" s="5"/>
    </row>
    <row r="4" spans="1:71" ht="28.5" customHeight="1" x14ac:dyDescent="0.25">
      <c r="A4" t="s">
        <v>107</v>
      </c>
      <c r="B4" s="3" t="s">
        <v>108</v>
      </c>
      <c r="C4" s="3"/>
      <c r="D4" s="3"/>
      <c r="E4" s="3" t="s">
        <v>99</v>
      </c>
      <c r="F4" s="3"/>
      <c r="G4" s="3"/>
      <c r="H4" s="3"/>
      <c r="I4" s="3"/>
      <c r="K4" s="3"/>
      <c r="L4" s="3"/>
      <c r="AZ4">
        <f>(0.05*(Summary!E2+Summary!E4)+Summary!E5)*0.1</f>
        <v>1.6596514192002088E-2</v>
      </c>
      <c r="BA4">
        <f t="shared" si="0"/>
        <v>16.596514192002086</v>
      </c>
      <c r="BB4">
        <f>AZ4/Summary!D$22*100</f>
        <v>0.24878105686198065</v>
      </c>
      <c r="BC4" s="5" t="s">
        <v>109</v>
      </c>
      <c r="BD4" s="5">
        <v>0.5</v>
      </c>
      <c r="BE4" s="5" t="s">
        <v>110</v>
      </c>
      <c r="BF4" s="5">
        <v>10</v>
      </c>
      <c r="BG4" s="5"/>
      <c r="BH4" s="5"/>
      <c r="BI4" s="5"/>
      <c r="BJ4" s="5"/>
      <c r="BK4" t="s">
        <v>111</v>
      </c>
    </row>
    <row r="5" spans="1:71" x14ac:dyDescent="0.25">
      <c r="A5" t="s">
        <v>112</v>
      </c>
      <c r="B5" s="4" t="s">
        <v>113</v>
      </c>
      <c r="C5" s="4"/>
      <c r="D5" s="4"/>
      <c r="E5" s="4"/>
      <c r="F5" s="4" t="s">
        <v>99</v>
      </c>
      <c r="G5" s="4" t="s">
        <v>99</v>
      </c>
      <c r="H5" s="4" t="s">
        <v>99</v>
      </c>
      <c r="I5" s="4" t="s">
        <v>99</v>
      </c>
      <c r="J5" s="4" t="s">
        <v>99</v>
      </c>
      <c r="K5" s="4"/>
      <c r="L5" s="4"/>
      <c r="AZ5">
        <f>0.05*Summary!D2-0.1*Summary!D5</f>
        <v>5.1029623701829507E-2</v>
      </c>
      <c r="BA5">
        <f t="shared" si="0"/>
        <v>51.029623701829507</v>
      </c>
      <c r="BB5">
        <f>AZ5/Summary!D$22*100</f>
        <v>0.76493193504020152</v>
      </c>
      <c r="BC5" s="5" t="s">
        <v>114</v>
      </c>
      <c r="BD5" s="5">
        <v>5</v>
      </c>
      <c r="BE5" s="5"/>
      <c r="BF5" s="5"/>
      <c r="BG5" s="5" t="s">
        <v>100</v>
      </c>
      <c r="BH5" s="5">
        <v>10</v>
      </c>
      <c r="BI5" s="5"/>
      <c r="BJ5" s="5"/>
      <c r="BK5" t="s">
        <v>115</v>
      </c>
    </row>
    <row r="6" spans="1:71" ht="14.25" customHeight="1" x14ac:dyDescent="0.25">
      <c r="A6" t="s">
        <v>116</v>
      </c>
      <c r="B6" s="3" t="s">
        <v>117</v>
      </c>
      <c r="C6" s="3"/>
      <c r="D6" s="3"/>
      <c r="E6" s="3"/>
      <c r="F6" s="3" t="s">
        <v>99</v>
      </c>
      <c r="G6" s="3" t="s">
        <v>99</v>
      </c>
      <c r="H6" s="3" t="s">
        <v>99</v>
      </c>
      <c r="I6" s="3" t="s">
        <v>99</v>
      </c>
      <c r="J6" s="3" t="s">
        <v>99</v>
      </c>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f>0.1*Summary!D2-0.05*Summary!D5</f>
        <v>0.10519314056206576</v>
      </c>
      <c r="BA6">
        <f t="shared" si="0"/>
        <v>105.19314056206576</v>
      </c>
      <c r="BB6">
        <f>AZ6/Summary!D$22*100</f>
        <v>1.5768407980678885</v>
      </c>
      <c r="BC6" s="5" t="s">
        <v>114</v>
      </c>
      <c r="BD6" s="5">
        <v>10</v>
      </c>
      <c r="BE6" s="5"/>
      <c r="BF6" s="5"/>
      <c r="BG6" s="5" t="s">
        <v>100</v>
      </c>
      <c r="BH6" s="5">
        <v>5</v>
      </c>
      <c r="BI6" s="5"/>
      <c r="BJ6" s="5"/>
      <c r="BK6" t="s">
        <v>118</v>
      </c>
    </row>
    <row r="7" spans="1:71" ht="16.5" customHeight="1" x14ac:dyDescent="0.25">
      <c r="A7" t="s">
        <v>119</v>
      </c>
      <c r="B7" s="3" t="s">
        <v>120</v>
      </c>
      <c r="C7" s="3"/>
      <c r="D7" s="3"/>
      <c r="E7" s="3"/>
      <c r="F7" s="4" t="s">
        <v>99</v>
      </c>
      <c r="G7" s="4" t="s">
        <v>99</v>
      </c>
      <c r="H7" s="4" t="s">
        <v>99</v>
      </c>
      <c r="I7" s="4" t="s">
        <v>99</v>
      </c>
      <c r="J7" s="4" t="s">
        <v>99</v>
      </c>
      <c r="K7" s="3"/>
      <c r="L7" s="3"/>
      <c r="AZ7">
        <f>0.05*Summary!D2-0.05*Summary!D5</f>
        <v>5.2074254754631753E-2</v>
      </c>
      <c r="BA7">
        <f t="shared" si="0"/>
        <v>52.074254754631752</v>
      </c>
      <c r="BB7">
        <f>AZ7/Summary!D$22*100</f>
        <v>0.78059091103602984</v>
      </c>
      <c r="BC7" s="5" t="s">
        <v>114</v>
      </c>
      <c r="BD7" s="5">
        <v>5</v>
      </c>
      <c r="BE7" s="5"/>
      <c r="BF7" s="5"/>
      <c r="BG7" s="5" t="s">
        <v>100</v>
      </c>
      <c r="BH7" s="5">
        <v>5</v>
      </c>
      <c r="BI7" s="5"/>
      <c r="BJ7" s="5"/>
      <c r="BK7" t="s">
        <v>121</v>
      </c>
    </row>
    <row r="8" spans="1:71" x14ac:dyDescent="0.25">
      <c r="A8" t="s">
        <v>122</v>
      </c>
      <c r="B8" s="3" t="s">
        <v>123</v>
      </c>
      <c r="C8" s="3"/>
      <c r="D8" s="3"/>
      <c r="E8" s="3"/>
      <c r="F8" s="3" t="s">
        <v>99</v>
      </c>
      <c r="G8" s="3" t="s">
        <v>99</v>
      </c>
      <c r="H8" s="3" t="s">
        <v>99</v>
      </c>
      <c r="I8" s="3" t="s">
        <v>99</v>
      </c>
      <c r="J8" s="3" t="s">
        <v>99</v>
      </c>
      <c r="K8" s="3"/>
      <c r="L8" s="3"/>
      <c r="AZ8">
        <f>0.1*Summary!D2-0.1*Summary!D5</f>
        <v>0.10414850950926351</v>
      </c>
      <c r="BA8">
        <f t="shared" si="0"/>
        <v>104.1485095092635</v>
      </c>
      <c r="BB8">
        <f>AZ8/Summary!D$22*100</f>
        <v>1.5611818220720597</v>
      </c>
      <c r="BC8" s="5" t="s">
        <v>114</v>
      </c>
      <c r="BD8" s="5">
        <v>10</v>
      </c>
      <c r="BE8" s="5"/>
      <c r="BF8" s="5"/>
      <c r="BG8" s="5" t="s">
        <v>100</v>
      </c>
      <c r="BH8" s="5">
        <v>10</v>
      </c>
      <c r="BI8" s="5"/>
      <c r="BJ8" s="5"/>
      <c r="BK8" t="s">
        <v>124</v>
      </c>
    </row>
    <row r="9" spans="1:71" ht="15" customHeight="1" x14ac:dyDescent="0.25">
      <c r="A9" t="s">
        <v>125</v>
      </c>
      <c r="B9" s="3" t="s">
        <v>126</v>
      </c>
      <c r="C9" s="3"/>
      <c r="D9" s="3"/>
      <c r="E9" s="3"/>
      <c r="F9" s="3" t="s">
        <v>99</v>
      </c>
      <c r="G9" s="3" t="s">
        <v>99</v>
      </c>
      <c r="H9" s="3" t="s">
        <v>99</v>
      </c>
      <c r="I9" s="3" t="s">
        <v>99</v>
      </c>
      <c r="J9" s="3" t="s">
        <v>99</v>
      </c>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f>0.1*Summary!D2-0.2*Summary!D5</f>
        <v>0.10205924740365901</v>
      </c>
      <c r="BA9">
        <f t="shared" si="0"/>
        <v>102.05924740365901</v>
      </c>
      <c r="BB9">
        <f>AZ9/Summary!D$22*100</f>
        <v>1.529863870080403</v>
      </c>
      <c r="BC9" s="5" t="s">
        <v>114</v>
      </c>
      <c r="BD9" s="5">
        <v>10</v>
      </c>
      <c r="BE9" s="5"/>
      <c r="BF9" s="5"/>
      <c r="BG9" s="5" t="s">
        <v>100</v>
      </c>
      <c r="BH9" s="5">
        <v>20</v>
      </c>
      <c r="BI9" s="5"/>
      <c r="BJ9" s="5"/>
      <c r="BK9" t="s">
        <v>127</v>
      </c>
    </row>
    <row r="10" spans="1:71" ht="16.5" customHeight="1" x14ac:dyDescent="0.25">
      <c r="A10" t="s">
        <v>128</v>
      </c>
      <c r="B10" s="3" t="s">
        <v>129</v>
      </c>
      <c r="C10" s="3"/>
      <c r="D10" s="3"/>
      <c r="E10" s="3"/>
      <c r="F10" s="3"/>
      <c r="G10" s="3"/>
      <c r="H10" s="3"/>
      <c r="I10" s="3"/>
      <c r="J10" s="3"/>
      <c r="K10" s="3" t="s">
        <v>99</v>
      </c>
      <c r="L10" s="3" t="s">
        <v>99</v>
      </c>
      <c r="M10" s="3" t="s">
        <v>99</v>
      </c>
      <c r="N10" s="3" t="s">
        <v>99</v>
      </c>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f>0.2*Summary!D2-1000000000*(0.2*Summary!H2)/(3000*2204.62*1000000)</f>
        <v>0.21238784860057847</v>
      </c>
      <c r="BA10">
        <f t="shared" si="0"/>
        <v>212.38784860057848</v>
      </c>
      <c r="BB10">
        <f>AZ10/Summary!D$22*100</f>
        <v>3.1836850092868949</v>
      </c>
      <c r="BC10" s="5" t="s">
        <v>114</v>
      </c>
      <c r="BD10" s="5">
        <v>20</v>
      </c>
      <c r="BE10" s="5"/>
      <c r="BF10" s="5"/>
      <c r="BG10" s="5" t="s">
        <v>114</v>
      </c>
      <c r="BH10" s="5" t="s">
        <v>130</v>
      </c>
      <c r="BI10" s="5"/>
      <c r="BJ10" s="5"/>
      <c r="BK10" t="s">
        <v>131</v>
      </c>
    </row>
    <row r="11" spans="1:71" ht="15" customHeight="1" x14ac:dyDescent="0.25">
      <c r="A11" t="s">
        <v>132</v>
      </c>
      <c r="B11" s="3" t="s">
        <v>133</v>
      </c>
      <c r="C11" s="3"/>
      <c r="D11" s="3"/>
      <c r="E11" s="3"/>
      <c r="F11" s="3"/>
      <c r="G11" s="3"/>
      <c r="H11" s="3"/>
      <c r="I11" s="3"/>
      <c r="K11" s="3" t="s">
        <v>99</v>
      </c>
      <c r="L11" s="3" t="s">
        <v>99</v>
      </c>
      <c r="M11" t="s">
        <v>99</v>
      </c>
      <c r="N11" s="3" t="s">
        <v>99</v>
      </c>
      <c r="AZ11">
        <f>0.4*Summary!D4-1000000000*(0.4*Summary!H4)/(3000*2204.62*1000000)</f>
        <v>0.73889535471835843</v>
      </c>
      <c r="BA11">
        <f t="shared" si="0"/>
        <v>738.89535471835848</v>
      </c>
      <c r="BB11">
        <f>AZ11/Summary!D$22*100</f>
        <v>11.076010608650957</v>
      </c>
      <c r="BC11" s="5" t="s">
        <v>134</v>
      </c>
      <c r="BD11" s="5">
        <v>40</v>
      </c>
      <c r="BE11" s="5"/>
      <c r="BF11" s="5"/>
      <c r="BG11" s="5" t="s">
        <v>134</v>
      </c>
      <c r="BH11" s="5" t="s">
        <v>135</v>
      </c>
      <c r="BI11" s="5"/>
      <c r="BJ11" s="5"/>
      <c r="BK11" t="s">
        <v>136</v>
      </c>
    </row>
    <row r="12" spans="1:71" ht="15" customHeight="1" x14ac:dyDescent="0.25">
      <c r="A12" t="s">
        <v>137</v>
      </c>
      <c r="B12" t="s">
        <v>138</v>
      </c>
      <c r="J12" s="3"/>
      <c r="M12" s="3" t="s">
        <v>99</v>
      </c>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f>0.05*SUM(Summary!D2:D5)</f>
        <v>0.14844744927843065</v>
      </c>
      <c r="BA12">
        <f t="shared" si="0"/>
        <v>148.44744927843064</v>
      </c>
      <c r="BB12">
        <f>AZ12/Summary!D$22*100</f>
        <v>2.2252210851451184</v>
      </c>
      <c r="BC12" s="5" t="s">
        <v>139</v>
      </c>
      <c r="BD12" s="5">
        <v>5</v>
      </c>
      <c r="BE12" s="5"/>
      <c r="BF12" s="5"/>
      <c r="BG12" s="5"/>
      <c r="BH12" s="5"/>
      <c r="BI12" s="5"/>
      <c r="BJ12" s="5"/>
      <c r="BK12" t="s">
        <v>140</v>
      </c>
    </row>
    <row r="13" spans="1:71" x14ac:dyDescent="0.25">
      <c r="A13" t="s">
        <v>141</v>
      </c>
      <c r="B13" s="3" t="s">
        <v>142</v>
      </c>
      <c r="C13" s="3"/>
      <c r="D13" s="3"/>
      <c r="E13" s="3"/>
      <c r="F13" s="3"/>
      <c r="G13" s="3"/>
      <c r="H13" s="3"/>
      <c r="I13" s="3"/>
      <c r="K13" s="3" t="s">
        <v>99</v>
      </c>
      <c r="L13" s="3" t="s">
        <v>99</v>
      </c>
      <c r="M13" s="3" t="s">
        <v>99</v>
      </c>
      <c r="N13" s="3" t="s">
        <v>99</v>
      </c>
      <c r="AZ13">
        <f>0.4*Summary!D2-1000000000*(0.4*Summary!H2)/(3000*2204.62*1000000)</f>
        <v>0.42477569720115693</v>
      </c>
      <c r="BA13">
        <f t="shared" si="0"/>
        <v>424.77569720115696</v>
      </c>
      <c r="BB13">
        <f>AZ13/Summary!D$22*100</f>
        <v>6.3673700185737898</v>
      </c>
      <c r="BC13" s="5" t="s">
        <v>114</v>
      </c>
      <c r="BD13" s="5">
        <v>40</v>
      </c>
      <c r="BG13" s="5" t="s">
        <v>114</v>
      </c>
      <c r="BH13" s="5" t="s">
        <v>135</v>
      </c>
      <c r="BI13" s="5"/>
      <c r="BJ13" s="5"/>
      <c r="BK13" t="s">
        <v>143</v>
      </c>
    </row>
    <row r="14" spans="1:71" x14ac:dyDescent="0.25">
      <c r="A14" t="s">
        <v>144</v>
      </c>
      <c r="B14" t="s">
        <v>145</v>
      </c>
      <c r="O14" t="s">
        <v>99</v>
      </c>
      <c r="AZ14">
        <f>0.1*SUM(Summary!D2:D5)</f>
        <v>0.2968948985568613</v>
      </c>
      <c r="BA14">
        <f t="shared" si="0"/>
        <v>296.89489855686128</v>
      </c>
      <c r="BB14">
        <f>AZ14/Summary!D$22*100</f>
        <v>4.4504421702902368</v>
      </c>
      <c r="BC14" s="5" t="s">
        <v>139</v>
      </c>
      <c r="BD14" s="5">
        <v>10</v>
      </c>
      <c r="BE14" s="5"/>
      <c r="BF14" s="5"/>
      <c r="BG14" s="5"/>
      <c r="BH14" s="5"/>
      <c r="BI14" s="5"/>
      <c r="BJ14" s="5"/>
      <c r="BK14" t="s">
        <v>146</v>
      </c>
    </row>
    <row r="15" spans="1:71" ht="14.25" customHeight="1" x14ac:dyDescent="0.25">
      <c r="A15" s="3" t="s">
        <v>147</v>
      </c>
      <c r="B15" s="3" t="s">
        <v>148</v>
      </c>
      <c r="C15" s="3"/>
      <c r="D15" s="3"/>
      <c r="E15" s="3"/>
      <c r="F15" s="3"/>
      <c r="G15" s="3"/>
      <c r="H15" s="3"/>
      <c r="I15" s="3"/>
      <c r="K15" s="3"/>
      <c r="L15" s="3"/>
      <c r="P15" t="s">
        <v>99</v>
      </c>
      <c r="Q15" t="s">
        <v>99</v>
      </c>
      <c r="R15" t="s">
        <v>99</v>
      </c>
      <c r="S15" t="s">
        <v>99</v>
      </c>
      <c r="U15" t="s">
        <v>99</v>
      </c>
      <c r="V15" t="s">
        <v>99</v>
      </c>
      <c r="W15" t="s">
        <v>99</v>
      </c>
      <c r="X15" t="s">
        <v>99</v>
      </c>
      <c r="AZ15">
        <f>0.1*SUM(Summary!D6:D7)</f>
        <v>0.1719647218703183</v>
      </c>
      <c r="BA15">
        <f t="shared" si="0"/>
        <v>171.9647218703183</v>
      </c>
      <c r="BB15">
        <f>AZ15/Summary!D$22*100</f>
        <v>2.5777440223255383</v>
      </c>
      <c r="BC15" s="7" t="s">
        <v>149</v>
      </c>
      <c r="BD15" s="5">
        <v>10</v>
      </c>
      <c r="BE15" s="5"/>
      <c r="BF15" s="5"/>
      <c r="BG15" s="5"/>
      <c r="BH15" s="5"/>
      <c r="BI15" s="5"/>
      <c r="BJ15" s="5"/>
      <c r="BK15" t="s">
        <v>150</v>
      </c>
    </row>
    <row r="16" spans="1:71" ht="16.5" customHeight="1" x14ac:dyDescent="0.25">
      <c r="A16" s="3" t="s">
        <v>151</v>
      </c>
      <c r="B16" s="3" t="s">
        <v>152</v>
      </c>
      <c r="C16" s="3"/>
      <c r="D16" s="3"/>
      <c r="E16" s="3"/>
      <c r="F16" s="3"/>
      <c r="G16" s="3"/>
      <c r="H16" s="3"/>
      <c r="I16" s="3"/>
      <c r="K16" s="3"/>
      <c r="L16" s="3"/>
      <c r="P16" t="s">
        <v>99</v>
      </c>
      <c r="Q16" t="s">
        <v>99</v>
      </c>
      <c r="R16" t="s">
        <v>99</v>
      </c>
      <c r="S16" t="s">
        <v>99</v>
      </c>
      <c r="U16" t="s">
        <v>99</v>
      </c>
      <c r="V16" t="s">
        <v>99</v>
      </c>
      <c r="W16" t="s">
        <v>99</v>
      </c>
      <c r="X16" t="s">
        <v>99</v>
      </c>
      <c r="AZ16">
        <f>0.15*SUM(Summary!D6:D7)</f>
        <v>0.25794708280547746</v>
      </c>
      <c r="BA16">
        <f t="shared" si="0"/>
        <v>257.94708280547746</v>
      </c>
      <c r="BB16">
        <f>AZ16/Summary!D$22*100</f>
        <v>3.8666160334883077</v>
      </c>
      <c r="BC16" s="7" t="s">
        <v>149</v>
      </c>
      <c r="BD16" s="5">
        <v>15</v>
      </c>
      <c r="BE16" s="5"/>
      <c r="BF16" s="5"/>
      <c r="BG16" s="5"/>
      <c r="BH16" s="5"/>
      <c r="BI16" s="5"/>
      <c r="BJ16" s="5"/>
      <c r="BK16" t="s">
        <v>153</v>
      </c>
    </row>
    <row r="17" spans="1:63" ht="16.5" customHeight="1" x14ac:dyDescent="0.25">
      <c r="A17" s="3" t="s">
        <v>154</v>
      </c>
      <c r="B17" s="3" t="s">
        <v>155</v>
      </c>
      <c r="C17" s="3"/>
      <c r="D17" s="3"/>
      <c r="E17" s="3"/>
      <c r="F17" s="3"/>
      <c r="G17" s="3"/>
      <c r="H17" s="3"/>
      <c r="I17" s="3"/>
      <c r="K17" s="3"/>
      <c r="L17" s="3"/>
      <c r="P17" t="s">
        <v>99</v>
      </c>
      <c r="Q17" t="s">
        <v>99</v>
      </c>
      <c r="R17" t="s">
        <v>99</v>
      </c>
      <c r="S17" t="s">
        <v>99</v>
      </c>
      <c r="U17" t="s">
        <v>99</v>
      </c>
      <c r="V17" t="s">
        <v>99</v>
      </c>
      <c r="W17" t="s">
        <v>99</v>
      </c>
      <c r="X17" t="s">
        <v>99</v>
      </c>
      <c r="AZ17">
        <f>0.2*SUM(Summary!D6:D7)</f>
        <v>0.34392944374063661</v>
      </c>
      <c r="BA17">
        <f t="shared" si="0"/>
        <v>343.9294437406366</v>
      </c>
      <c r="BB17">
        <f>AZ17/Summary!D$22*100</f>
        <v>5.1554880446510767</v>
      </c>
      <c r="BC17" s="7" t="s">
        <v>149</v>
      </c>
      <c r="BD17" s="5">
        <v>20</v>
      </c>
      <c r="BE17" s="5"/>
      <c r="BF17" s="5"/>
      <c r="BG17" s="5"/>
      <c r="BH17" s="5"/>
      <c r="BI17" s="5"/>
      <c r="BJ17" s="5"/>
      <c r="BK17" t="s">
        <v>156</v>
      </c>
    </row>
    <row r="18" spans="1:63" ht="15" customHeight="1" x14ac:dyDescent="0.25">
      <c r="A18" s="3" t="s">
        <v>157</v>
      </c>
      <c r="B18" s="3" t="s">
        <v>158</v>
      </c>
      <c r="C18" s="3"/>
      <c r="D18" s="3"/>
      <c r="E18" s="3"/>
      <c r="F18" s="3"/>
      <c r="G18" s="3"/>
      <c r="H18" s="3"/>
      <c r="I18" s="3"/>
      <c r="K18" s="3"/>
      <c r="L18" s="3"/>
      <c r="P18" t="s">
        <v>99</v>
      </c>
      <c r="Q18" t="s">
        <v>99</v>
      </c>
      <c r="R18" t="s">
        <v>99</v>
      </c>
      <c r="S18" t="s">
        <v>99</v>
      </c>
      <c r="U18" t="s">
        <v>99</v>
      </c>
      <c r="V18" t="s">
        <v>99</v>
      </c>
      <c r="W18" t="s">
        <v>99</v>
      </c>
      <c r="X18" t="s">
        <v>99</v>
      </c>
      <c r="AZ18">
        <f>0.3*SUM(Summary!D6:D7)</f>
        <v>0.51589416561095491</v>
      </c>
      <c r="BA18">
        <f t="shared" si="0"/>
        <v>515.89416561095493</v>
      </c>
      <c r="BB18">
        <f>AZ18/Summary!D$22*100</f>
        <v>7.7332320669766155</v>
      </c>
      <c r="BC18" s="7" t="s">
        <v>149</v>
      </c>
      <c r="BD18" s="5">
        <v>30</v>
      </c>
      <c r="BE18" s="5"/>
      <c r="BF18" s="5"/>
      <c r="BG18" s="5"/>
      <c r="BH18" s="5"/>
      <c r="BI18" s="5"/>
      <c r="BJ18" s="5"/>
      <c r="BK18" t="s">
        <v>159</v>
      </c>
    </row>
    <row r="19" spans="1:63" ht="15.75" customHeight="1" x14ac:dyDescent="0.25">
      <c r="A19" s="3" t="s">
        <v>160</v>
      </c>
      <c r="B19" s="3" t="s">
        <v>161</v>
      </c>
      <c r="C19" s="3"/>
      <c r="D19" s="3"/>
      <c r="E19" s="3"/>
      <c r="F19" s="3"/>
      <c r="G19" s="3"/>
      <c r="H19" s="3"/>
      <c r="I19" s="3"/>
      <c r="K19" s="3"/>
      <c r="L19" s="3"/>
      <c r="T19" t="s">
        <v>99</v>
      </c>
      <c r="AZ19">
        <f>0.4*Summary!D17</f>
        <v>9.1706255204657217E-6</v>
      </c>
      <c r="BA19">
        <f t="shared" si="0"/>
        <v>9.1706255204657226E-3</v>
      </c>
      <c r="BB19">
        <f>AZ19/Summary!D$22*100</f>
        <v>1.3746729479895031E-4</v>
      </c>
      <c r="BC19" s="7" t="s">
        <v>162</v>
      </c>
      <c r="BD19" s="5">
        <v>40</v>
      </c>
      <c r="BE19" s="5"/>
      <c r="BF19" s="5"/>
      <c r="BG19" s="5"/>
      <c r="BH19" s="5"/>
      <c r="BI19" s="5"/>
      <c r="BJ19" s="5"/>
      <c r="BK19" t="s">
        <v>163</v>
      </c>
    </row>
    <row r="20" spans="1:63" ht="15" customHeight="1" x14ac:dyDescent="0.25">
      <c r="A20" s="3" t="s">
        <v>164</v>
      </c>
      <c r="B20" s="3" t="s">
        <v>165</v>
      </c>
      <c r="C20" s="3"/>
      <c r="D20" s="3"/>
      <c r="E20" s="3"/>
      <c r="F20" s="3"/>
      <c r="G20" s="3"/>
      <c r="H20" s="3"/>
      <c r="I20" s="3"/>
      <c r="K20" s="3"/>
      <c r="L20" s="3"/>
      <c r="Y20" t="s">
        <v>99</v>
      </c>
      <c r="Z20" t="s">
        <v>99</v>
      </c>
      <c r="AZ20">
        <f>0.1*Summary!D7</f>
        <v>8.5347754203123807E-2</v>
      </c>
      <c r="BA20">
        <f t="shared" si="0"/>
        <v>85.347754203123813</v>
      </c>
      <c r="BB20">
        <f>AZ20/Summary!D$22*100</f>
        <v>1.2793592826668323</v>
      </c>
      <c r="BC20" s="7" t="s">
        <v>166</v>
      </c>
      <c r="BD20" s="5">
        <v>10</v>
      </c>
      <c r="BE20" s="5"/>
      <c r="BF20" s="5"/>
      <c r="BG20" s="5"/>
      <c r="BH20" s="5"/>
      <c r="BI20" s="5"/>
      <c r="BJ20" s="5"/>
      <c r="BK20" t="s">
        <v>167</v>
      </c>
    </row>
    <row r="21" spans="1:63" ht="15.75" customHeight="1" x14ac:dyDescent="0.25">
      <c r="A21" s="3" t="s">
        <v>168</v>
      </c>
      <c r="B21" s="3" t="s">
        <v>169</v>
      </c>
      <c r="C21" s="3"/>
      <c r="D21" s="3"/>
      <c r="E21" s="3"/>
      <c r="F21" s="3"/>
      <c r="G21" s="3"/>
      <c r="H21" s="3"/>
      <c r="I21" s="3"/>
      <c r="J21" s="3"/>
      <c r="K21" s="3"/>
      <c r="L21" s="3"/>
      <c r="M21" s="3"/>
      <c r="N21" s="3"/>
      <c r="O21" s="3"/>
      <c r="P21" s="3"/>
      <c r="Q21" s="3"/>
      <c r="R21" s="3"/>
      <c r="S21" s="3"/>
      <c r="T21" s="3"/>
      <c r="U21" s="3"/>
      <c r="V21" s="3"/>
      <c r="W21" s="3"/>
      <c r="X21" s="3"/>
      <c r="Y21" s="3" t="s">
        <v>99</v>
      </c>
      <c r="Z21" s="3" t="s">
        <v>99</v>
      </c>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f>0.3*Summary!D7</f>
        <v>0.25604326260937138</v>
      </c>
      <c r="BA21">
        <f t="shared" si="0"/>
        <v>256.04326260937137</v>
      </c>
      <c r="BB21">
        <f>AZ21/Summary!D$22*100</f>
        <v>3.8380778480004962</v>
      </c>
      <c r="BC21" s="7" t="s">
        <v>166</v>
      </c>
      <c r="BD21" s="5">
        <v>30</v>
      </c>
      <c r="BE21" s="5"/>
      <c r="BF21" s="5"/>
      <c r="BG21" s="5"/>
      <c r="BH21" s="5"/>
      <c r="BI21" s="5"/>
      <c r="BJ21" s="5"/>
      <c r="BK21" t="s">
        <v>170</v>
      </c>
    </row>
    <row r="22" spans="1:63" x14ac:dyDescent="0.25">
      <c r="A22" s="3" t="s">
        <v>171</v>
      </c>
      <c r="B22" s="3" t="s">
        <v>172</v>
      </c>
      <c r="C22" s="3"/>
      <c r="D22" s="3"/>
      <c r="E22" s="3"/>
      <c r="F22" s="3"/>
      <c r="G22" s="3"/>
      <c r="H22" s="3"/>
      <c r="I22" s="3"/>
      <c r="K22" s="3"/>
      <c r="L22" s="3"/>
      <c r="AA22" t="s">
        <v>99</v>
      </c>
      <c r="AB22" t="s">
        <v>99</v>
      </c>
      <c r="AD22" t="s">
        <v>99</v>
      </c>
      <c r="AE22" t="s">
        <v>99</v>
      </c>
      <c r="AG22" t="s">
        <v>99</v>
      </c>
      <c r="AH22" t="s">
        <v>99</v>
      </c>
      <c r="AI22" t="s">
        <v>99</v>
      </c>
      <c r="AJ22" t="s">
        <v>99</v>
      </c>
      <c r="AK22" t="s">
        <v>99</v>
      </c>
      <c r="AL22" t="s">
        <v>99</v>
      </c>
      <c r="AM22" t="s">
        <v>99</v>
      </c>
      <c r="AZ22">
        <f>0.1*SUM(Summary!D10:D12)</f>
        <v>0.14921420200321359</v>
      </c>
      <c r="BA22">
        <f t="shared" si="0"/>
        <v>149.21420200321359</v>
      </c>
      <c r="BB22">
        <f>AZ22/Summary!D$22*100</f>
        <v>2.2367146765713968</v>
      </c>
      <c r="BC22" s="5" t="s">
        <v>173</v>
      </c>
      <c r="BD22" s="5">
        <v>10</v>
      </c>
      <c r="BE22" s="5"/>
      <c r="BF22" s="5"/>
      <c r="BG22" s="5"/>
      <c r="BH22" s="5"/>
      <c r="BI22" s="5"/>
      <c r="BJ22" s="5"/>
      <c r="BK22" t="s">
        <v>174</v>
      </c>
    </row>
    <row r="23" spans="1:63" x14ac:dyDescent="0.25">
      <c r="A23" s="3" t="s">
        <v>175</v>
      </c>
      <c r="B23" s="3" t="s">
        <v>176</v>
      </c>
      <c r="C23" s="3"/>
      <c r="D23" s="3"/>
      <c r="E23" s="3"/>
      <c r="F23" s="3"/>
      <c r="G23" s="3"/>
      <c r="H23" s="3"/>
      <c r="I23" s="3"/>
      <c r="K23" s="3"/>
      <c r="L23" s="3"/>
      <c r="AA23" t="s">
        <v>99</v>
      </c>
      <c r="AB23" t="s">
        <v>99</v>
      </c>
      <c r="AD23" t="s">
        <v>99</v>
      </c>
      <c r="AE23" t="s">
        <v>99</v>
      </c>
      <c r="AG23" t="s">
        <v>99</v>
      </c>
      <c r="AH23" t="s">
        <v>99</v>
      </c>
      <c r="AI23" t="s">
        <v>99</v>
      </c>
      <c r="AJ23" t="s">
        <v>99</v>
      </c>
      <c r="AK23" t="s">
        <v>99</v>
      </c>
      <c r="AL23" t="s">
        <v>99</v>
      </c>
      <c r="AM23" t="s">
        <v>99</v>
      </c>
      <c r="AZ23">
        <f>0.2*SUM(Summary!D10:D12)</f>
        <v>0.29842840400642717</v>
      </c>
      <c r="BA23">
        <f t="shared" si="0"/>
        <v>298.42840400642717</v>
      </c>
      <c r="BB23">
        <f>AZ23/Summary!D$22*100</f>
        <v>4.4734293531427936</v>
      </c>
      <c r="BC23" s="5" t="s">
        <v>173</v>
      </c>
      <c r="BD23" s="5">
        <v>20</v>
      </c>
      <c r="BE23" s="5"/>
      <c r="BF23" s="5"/>
      <c r="BG23" s="5"/>
      <c r="BH23" s="5"/>
      <c r="BI23" s="5"/>
      <c r="BJ23" s="5"/>
      <c r="BK23" t="s">
        <v>177</v>
      </c>
    </row>
    <row r="24" spans="1:63" x14ac:dyDescent="0.25">
      <c r="A24" s="3" t="s">
        <v>178</v>
      </c>
      <c r="B24" s="3" t="s">
        <v>179</v>
      </c>
      <c r="C24" s="3"/>
      <c r="D24" s="3"/>
      <c r="E24" s="3"/>
      <c r="F24" s="3"/>
      <c r="G24" s="3"/>
      <c r="H24" s="3"/>
      <c r="I24" s="3"/>
      <c r="K24" s="3"/>
      <c r="L24" s="3"/>
      <c r="AC24" t="s">
        <v>99</v>
      </c>
      <c r="AF24" t="s">
        <v>99</v>
      </c>
      <c r="AZ24">
        <f>0.2*SUM(Summary!D10:D12)</f>
        <v>0.29842840400642717</v>
      </c>
      <c r="BA24">
        <f t="shared" si="0"/>
        <v>298.42840400642717</v>
      </c>
      <c r="BB24">
        <f>AZ24/Summary!D$22*100</f>
        <v>4.4734293531427936</v>
      </c>
      <c r="BC24" s="5" t="s">
        <v>180</v>
      </c>
      <c r="BD24" s="5">
        <v>20</v>
      </c>
      <c r="BE24" s="5"/>
      <c r="BF24" s="5"/>
      <c r="BG24" s="5"/>
      <c r="BH24" s="5"/>
      <c r="BI24" s="5"/>
      <c r="BJ24" s="5"/>
      <c r="BK24" t="s">
        <v>181</v>
      </c>
    </row>
    <row r="25" spans="1:63" x14ac:dyDescent="0.25">
      <c r="A25" s="3" t="s">
        <v>182</v>
      </c>
      <c r="B25" s="3" t="s">
        <v>183</v>
      </c>
      <c r="C25" s="3"/>
      <c r="D25" s="3"/>
      <c r="E25" s="3"/>
      <c r="F25" s="3"/>
      <c r="G25" s="3"/>
      <c r="H25" s="3"/>
      <c r="I25" s="3"/>
      <c r="K25" s="3"/>
      <c r="L25" s="3"/>
      <c r="AA25" t="s">
        <v>99</v>
      </c>
      <c r="AB25" t="s">
        <v>99</v>
      </c>
      <c r="AD25" t="s">
        <v>99</v>
      </c>
      <c r="AE25" t="s">
        <v>99</v>
      </c>
      <c r="AG25" t="s">
        <v>99</v>
      </c>
      <c r="AH25" t="s">
        <v>99</v>
      </c>
      <c r="AI25" t="s">
        <v>99</v>
      </c>
      <c r="AJ25" t="s">
        <v>99</v>
      </c>
      <c r="AK25" t="s">
        <v>99</v>
      </c>
      <c r="AL25" t="s">
        <v>99</v>
      </c>
      <c r="AM25" t="s">
        <v>99</v>
      </c>
      <c r="AZ25">
        <f>0.3*SUM(Summary!D10:D12)</f>
        <v>0.44764260600964073</v>
      </c>
      <c r="BA25">
        <f t="shared" si="0"/>
        <v>447.64260600964076</v>
      </c>
      <c r="BB25">
        <f>AZ25/Summary!D$22*100</f>
        <v>6.7101440297141908</v>
      </c>
      <c r="BC25" s="5" t="s">
        <v>173</v>
      </c>
      <c r="BD25" s="5">
        <v>30</v>
      </c>
      <c r="BE25" s="5"/>
      <c r="BF25" s="5"/>
      <c r="BG25" s="5"/>
      <c r="BH25" s="5"/>
      <c r="BI25" s="5"/>
      <c r="BJ25" s="5"/>
      <c r="BK25" t="s">
        <v>184</v>
      </c>
    </row>
    <row r="26" spans="1:63" x14ac:dyDescent="0.25">
      <c r="A26" s="3" t="s">
        <v>185</v>
      </c>
      <c r="B26" s="3" t="s">
        <v>186</v>
      </c>
      <c r="C26" s="3"/>
      <c r="D26" s="3"/>
      <c r="E26" s="3"/>
      <c r="F26" s="3"/>
      <c r="G26" s="3"/>
      <c r="H26" s="3"/>
      <c r="I26" s="3"/>
      <c r="K26" s="3"/>
      <c r="L26" s="3"/>
      <c r="AA26" t="s">
        <v>99</v>
      </c>
      <c r="AB26" t="s">
        <v>99</v>
      </c>
      <c r="AD26" t="s">
        <v>99</v>
      </c>
      <c r="AE26" t="s">
        <v>99</v>
      </c>
      <c r="AG26" t="s">
        <v>99</v>
      </c>
      <c r="AH26" t="s">
        <v>99</v>
      </c>
      <c r="AI26" t="s">
        <v>99</v>
      </c>
      <c r="AJ26" t="s">
        <v>99</v>
      </c>
      <c r="AK26" t="s">
        <v>99</v>
      </c>
      <c r="AL26" t="s">
        <v>99</v>
      </c>
      <c r="AM26" t="s">
        <v>99</v>
      </c>
      <c r="AZ26">
        <f>0.4*SUM(Summary!D10:D12)</f>
        <v>0.59685680801285435</v>
      </c>
      <c r="BA26">
        <f t="shared" si="0"/>
        <v>596.85680801285434</v>
      </c>
      <c r="BB26">
        <f>AZ26/Summary!D$22*100</f>
        <v>8.9468587062855871</v>
      </c>
      <c r="BC26" s="5" t="s">
        <v>173</v>
      </c>
      <c r="BD26" s="5">
        <v>40</v>
      </c>
      <c r="BE26" s="5"/>
      <c r="BF26" s="5"/>
      <c r="BG26" s="5"/>
      <c r="BH26" s="5"/>
      <c r="BI26" s="5"/>
      <c r="BJ26" s="5"/>
      <c r="BK26" t="s">
        <v>187</v>
      </c>
    </row>
    <row r="27" spans="1:63" x14ac:dyDescent="0.25">
      <c r="A27" s="3" t="s">
        <v>188</v>
      </c>
      <c r="B27" s="3" t="s">
        <v>189</v>
      </c>
      <c r="C27" s="3"/>
      <c r="D27" s="3"/>
      <c r="E27" s="3"/>
      <c r="F27" s="3"/>
      <c r="G27" s="3"/>
      <c r="H27" s="3"/>
      <c r="I27" s="3"/>
      <c r="K27" s="3"/>
      <c r="L27" s="3"/>
      <c r="AA27" t="s">
        <v>99</v>
      </c>
      <c r="AB27" t="s">
        <v>99</v>
      </c>
      <c r="AD27" t="s">
        <v>99</v>
      </c>
      <c r="AE27" t="s">
        <v>99</v>
      </c>
      <c r="AG27" t="s">
        <v>99</v>
      </c>
      <c r="AH27" t="s">
        <v>99</v>
      </c>
      <c r="AI27" t="s">
        <v>99</v>
      </c>
      <c r="AJ27" t="s">
        <v>99</v>
      </c>
      <c r="AK27" t="s">
        <v>99</v>
      </c>
      <c r="AL27" t="s">
        <v>99</v>
      </c>
      <c r="AM27" t="s">
        <v>99</v>
      </c>
      <c r="AZ27">
        <f>0.5*SUM(Summary!D10:D12)</f>
        <v>0.7460710100160679</v>
      </c>
      <c r="BA27">
        <f t="shared" si="0"/>
        <v>746.07101001606793</v>
      </c>
      <c r="BB27">
        <f>AZ27/Summary!D$22*100</f>
        <v>11.183573382856984</v>
      </c>
      <c r="BC27" s="5" t="s">
        <v>173</v>
      </c>
      <c r="BD27" s="5">
        <v>50</v>
      </c>
      <c r="BE27" s="5"/>
      <c r="BF27" s="5"/>
      <c r="BG27" s="5"/>
      <c r="BH27" s="5"/>
      <c r="BI27" s="5"/>
      <c r="BJ27" s="5"/>
      <c r="BK27" t="s">
        <v>190</v>
      </c>
    </row>
    <row r="28" spans="1:63" x14ac:dyDescent="0.25">
      <c r="A28" s="3" t="s">
        <v>191</v>
      </c>
      <c r="B28" t="s">
        <v>192</v>
      </c>
      <c r="AC28" t="s">
        <v>99</v>
      </c>
      <c r="AF28" t="s">
        <v>99</v>
      </c>
      <c r="AZ28" t="e">
        <f>0.1*Summary!#REF!</f>
        <v>#REF!</v>
      </c>
      <c r="BA28" t="e">
        <f>AZ28*1000</f>
        <v>#REF!</v>
      </c>
      <c r="BB28" t="e">
        <f>AZ28/Summary!D$22*100</f>
        <v>#REF!</v>
      </c>
      <c r="BC28" s="5" t="s">
        <v>193</v>
      </c>
      <c r="BD28" s="5">
        <v>10</v>
      </c>
      <c r="BK28" t="s">
        <v>194</v>
      </c>
    </row>
    <row r="29" spans="1:63" ht="15.75" customHeight="1" x14ac:dyDescent="0.25">
      <c r="A29" s="3" t="s">
        <v>195</v>
      </c>
      <c r="B29" t="s">
        <v>196</v>
      </c>
      <c r="J29" s="3"/>
      <c r="M29" s="3"/>
      <c r="N29" s="3"/>
      <c r="O29" s="3"/>
      <c r="P29" s="3"/>
      <c r="Q29" s="3"/>
      <c r="R29" s="3"/>
      <c r="S29" s="3"/>
      <c r="T29" s="3"/>
      <c r="U29" s="3"/>
      <c r="V29" s="3"/>
      <c r="W29" s="3"/>
      <c r="X29" s="3"/>
      <c r="Y29" s="3"/>
      <c r="Z29" s="3"/>
      <c r="AA29" s="3"/>
      <c r="AB29" s="3"/>
      <c r="AC29" t="s">
        <v>99</v>
      </c>
      <c r="AF29" t="s">
        <v>99</v>
      </c>
      <c r="AG29" s="3"/>
      <c r="AH29" s="3"/>
      <c r="AI29" s="3"/>
      <c r="AJ29" s="3"/>
      <c r="AK29" s="3"/>
      <c r="AL29" s="3"/>
      <c r="AM29" s="3"/>
      <c r="AN29" s="3"/>
      <c r="AO29" s="3"/>
      <c r="AP29" s="3"/>
      <c r="AQ29" s="3"/>
      <c r="AR29" s="3"/>
      <c r="AS29" s="3"/>
      <c r="AT29" s="3"/>
      <c r="AU29" s="3"/>
      <c r="AV29" s="3"/>
      <c r="AW29" s="3"/>
      <c r="AX29" s="3"/>
      <c r="AY29" s="3"/>
      <c r="AZ29" s="3" t="e">
        <f>0.2*Summary!#REF!</f>
        <v>#REF!</v>
      </c>
      <c r="BA29" t="e">
        <f t="shared" si="0"/>
        <v>#REF!</v>
      </c>
      <c r="BB29" t="e">
        <f>AZ29/Summary!D$22*100</f>
        <v>#REF!</v>
      </c>
      <c r="BC29" s="5" t="s">
        <v>193</v>
      </c>
      <c r="BD29" s="5">
        <v>20</v>
      </c>
      <c r="BK29" t="s">
        <v>197</v>
      </c>
    </row>
    <row r="30" spans="1:63" ht="14.25" customHeight="1" x14ac:dyDescent="0.25">
      <c r="A30" s="3" t="s">
        <v>198</v>
      </c>
      <c r="B30" t="s">
        <v>199</v>
      </c>
      <c r="J30" s="3"/>
      <c r="M30" s="3"/>
      <c r="N30" s="3"/>
      <c r="O30" s="3"/>
      <c r="P30" s="3"/>
      <c r="Q30" s="3"/>
      <c r="R30" s="3"/>
      <c r="S30" s="3"/>
      <c r="T30" s="3"/>
      <c r="U30" s="3"/>
      <c r="V30" s="3"/>
      <c r="W30" s="3"/>
      <c r="X30" s="3"/>
      <c r="Y30" s="3"/>
      <c r="Z30" s="3"/>
      <c r="AA30" s="3"/>
      <c r="AB30" s="3"/>
      <c r="AC30" t="s">
        <v>99</v>
      </c>
      <c r="AF30" t="s">
        <v>99</v>
      </c>
      <c r="AG30" s="3"/>
      <c r="AH30" s="3"/>
      <c r="AI30" s="3"/>
      <c r="AJ30" s="3"/>
      <c r="AK30" s="3"/>
      <c r="AL30" s="3"/>
      <c r="AM30" s="3"/>
      <c r="AN30" s="3"/>
      <c r="AO30" s="3"/>
      <c r="AP30" s="3"/>
      <c r="AQ30" s="3"/>
      <c r="AR30" s="3"/>
      <c r="AS30" s="3"/>
      <c r="AT30" s="3"/>
      <c r="AU30" s="3"/>
      <c r="AV30" s="3"/>
      <c r="AW30" s="3"/>
      <c r="AX30" s="3"/>
      <c r="AY30" s="3"/>
      <c r="AZ30" s="3" t="e">
        <f>0.2*Summary!#REF!</f>
        <v>#REF!</v>
      </c>
      <c r="BA30" t="e">
        <f t="shared" si="0"/>
        <v>#REF!</v>
      </c>
      <c r="BB30" t="e">
        <f>AZ30/Summary!D$22*100</f>
        <v>#REF!</v>
      </c>
      <c r="BC30" s="5" t="s">
        <v>193</v>
      </c>
      <c r="BD30" s="5">
        <v>30</v>
      </c>
      <c r="BK30" t="s">
        <v>200</v>
      </c>
    </row>
    <row r="31" spans="1:63" ht="16.5" customHeight="1" x14ac:dyDescent="0.25">
      <c r="A31" s="3" t="s">
        <v>201</v>
      </c>
      <c r="B31" s="3" t="s">
        <v>202</v>
      </c>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t="s">
        <v>99</v>
      </c>
      <c r="AN31" s="3"/>
      <c r="AO31" s="3"/>
      <c r="AP31" s="3"/>
      <c r="AQ31" s="3"/>
      <c r="AR31" s="3"/>
      <c r="AS31" s="3"/>
      <c r="AT31" s="3"/>
      <c r="AU31" s="3"/>
      <c r="AV31" s="3"/>
      <c r="AW31" s="3"/>
      <c r="AX31" s="3"/>
      <c r="AY31" s="3"/>
      <c r="AZ31" s="3">
        <f>0.5*SUM(Summary!D6:D7)</f>
        <v>0.85982360935159152</v>
      </c>
      <c r="BA31">
        <f t="shared" si="0"/>
        <v>859.82360935159147</v>
      </c>
      <c r="BB31">
        <f>AZ31/Summary!D$22*100</f>
        <v>12.888720111627695</v>
      </c>
      <c r="BC31" s="7" t="s">
        <v>149</v>
      </c>
      <c r="BD31" s="5">
        <v>50</v>
      </c>
      <c r="BE31" s="5"/>
      <c r="BF31" s="5"/>
      <c r="BG31" s="5"/>
      <c r="BH31" s="5"/>
      <c r="BI31" s="5"/>
      <c r="BJ31" s="5"/>
      <c r="BK31" t="s">
        <v>203</v>
      </c>
    </row>
    <row r="32" spans="1:63" x14ac:dyDescent="0.25">
      <c r="A32" s="3" t="s">
        <v>204</v>
      </c>
      <c r="B32" t="s">
        <v>205</v>
      </c>
      <c r="AN32" t="s">
        <v>99</v>
      </c>
      <c r="AO32" t="s">
        <v>99</v>
      </c>
      <c r="AP32" t="s">
        <v>99</v>
      </c>
      <c r="AZ32">
        <f>0.1*Summary!D13</f>
        <v>7.2763521815099402E-2</v>
      </c>
      <c r="BA32">
        <f t="shared" si="0"/>
        <v>72.763521815099409</v>
      </c>
      <c r="BB32">
        <f>AZ32/Summary!D$22*100</f>
        <v>1.0907221630240713</v>
      </c>
      <c r="BC32" s="5" t="s">
        <v>206</v>
      </c>
      <c r="BD32" s="5">
        <v>10</v>
      </c>
      <c r="BE32" s="5"/>
      <c r="BF32" s="5"/>
      <c r="BG32" s="5"/>
      <c r="BH32" s="5"/>
      <c r="BI32" s="5"/>
      <c r="BJ32" s="5"/>
      <c r="BK32" t="s">
        <v>207</v>
      </c>
    </row>
    <row r="33" spans="1:63" ht="13.5" customHeight="1" x14ac:dyDescent="0.25">
      <c r="A33" s="3" t="s">
        <v>208</v>
      </c>
      <c r="B33" t="s">
        <v>209</v>
      </c>
      <c r="J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t="s">
        <v>99</v>
      </c>
      <c r="AO33" t="s">
        <v>99</v>
      </c>
      <c r="AP33" t="s">
        <v>99</v>
      </c>
      <c r="AU33" s="3"/>
      <c r="AV33" s="3"/>
      <c r="AW33" s="3"/>
      <c r="AX33" s="3"/>
      <c r="AY33" s="3"/>
      <c r="AZ33" s="3">
        <f>0.2*Summary!D13</f>
        <v>0.1455270436301988</v>
      </c>
      <c r="BA33">
        <f t="shared" si="0"/>
        <v>145.52704363019882</v>
      </c>
      <c r="BB33">
        <f>AZ33/Summary!D$22*100</f>
        <v>2.1814443260481426</v>
      </c>
      <c r="BC33" s="5" t="s">
        <v>206</v>
      </c>
      <c r="BD33" s="5">
        <v>20</v>
      </c>
      <c r="BE33" s="5"/>
      <c r="BF33" s="5"/>
      <c r="BG33" s="5"/>
      <c r="BH33" s="5"/>
      <c r="BI33" s="5"/>
      <c r="BJ33" s="5"/>
      <c r="BK33" t="s">
        <v>210</v>
      </c>
    </row>
    <row r="34" spans="1:63" ht="14.25" customHeight="1" x14ac:dyDescent="0.25">
      <c r="A34" s="3" t="s">
        <v>211</v>
      </c>
      <c r="B34" s="3" t="s">
        <v>212</v>
      </c>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t="s">
        <v>99</v>
      </c>
      <c r="AO34" t="s">
        <v>99</v>
      </c>
      <c r="AP34" t="s">
        <v>99</v>
      </c>
      <c r="AU34" s="3"/>
      <c r="AV34" s="3"/>
      <c r="AW34" s="3"/>
      <c r="AX34" s="3"/>
      <c r="AY34" s="3"/>
      <c r="AZ34" s="3">
        <f>0.3*Summary!D13</f>
        <v>0.21829056544529818</v>
      </c>
      <c r="BA34">
        <f t="shared" si="0"/>
        <v>218.29056544529817</v>
      </c>
      <c r="BB34">
        <f>AZ34/Summary!D$22*100</f>
        <v>3.2721664890722137</v>
      </c>
      <c r="BC34" s="5" t="s">
        <v>206</v>
      </c>
      <c r="BD34" s="5">
        <v>30</v>
      </c>
      <c r="BE34" s="5"/>
      <c r="BF34" s="5"/>
      <c r="BG34" s="5"/>
      <c r="BH34" s="5"/>
      <c r="BI34" s="5"/>
      <c r="BJ34" s="5"/>
      <c r="BK34" t="s">
        <v>213</v>
      </c>
    </row>
    <row r="35" spans="1:63" x14ac:dyDescent="0.25">
      <c r="A35" s="3" t="s">
        <v>214</v>
      </c>
      <c r="B35" s="3" t="s">
        <v>215</v>
      </c>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t="s">
        <v>99</v>
      </c>
      <c r="AR35" t="s">
        <v>99</v>
      </c>
      <c r="AS35" t="s">
        <v>99</v>
      </c>
      <c r="AT35" s="3"/>
      <c r="AU35" s="3"/>
      <c r="AV35" s="3"/>
      <c r="AW35" s="3"/>
      <c r="AX35" s="3"/>
      <c r="AY35" s="3"/>
      <c r="AZ35" s="3">
        <f>0.2*SUM(Summary!D18:D20)</f>
        <v>-0.12371293523398955</v>
      </c>
      <c r="BA35">
        <f t="shared" si="0"/>
        <v>-123.71293523398954</v>
      </c>
      <c r="BB35">
        <f>AZ35/Summary!D$22*100</f>
        <v>-1.8544517492619883</v>
      </c>
      <c r="BC35" s="5" t="s">
        <v>216</v>
      </c>
      <c r="BD35" s="5">
        <v>20</v>
      </c>
      <c r="BE35" s="5"/>
      <c r="BF35" s="5"/>
      <c r="BG35" s="5"/>
      <c r="BH35" s="5"/>
      <c r="BI35" s="5"/>
      <c r="BJ35" s="5"/>
      <c r="BK35" t="s">
        <v>217</v>
      </c>
    </row>
    <row r="36" spans="1:63" x14ac:dyDescent="0.25">
      <c r="A36" s="3" t="s">
        <v>218</v>
      </c>
      <c r="B36" s="3" t="s">
        <v>219</v>
      </c>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t="s">
        <v>99</v>
      </c>
      <c r="AR36" t="s">
        <v>99</v>
      </c>
      <c r="AS36" t="s">
        <v>99</v>
      </c>
      <c r="AT36" s="3"/>
      <c r="AU36" s="3"/>
      <c r="AV36" s="3"/>
      <c r="AW36" s="3"/>
      <c r="AX36" s="3"/>
      <c r="AY36" s="3"/>
      <c r="AZ36" s="3">
        <f>0.1*SUM(Summary!D18:D20)</f>
        <v>-6.1856467616994773E-2</v>
      </c>
      <c r="BA36">
        <f t="shared" si="0"/>
        <v>-61.85646761699477</v>
      </c>
      <c r="BB36">
        <f>AZ36/Summary!D$22*100</f>
        <v>-0.92722587463099415</v>
      </c>
      <c r="BC36" s="5" t="s">
        <v>216</v>
      </c>
      <c r="BD36" s="5">
        <v>10</v>
      </c>
      <c r="BE36" s="5"/>
      <c r="BF36" s="5"/>
      <c r="BG36" s="5"/>
      <c r="BH36" s="5"/>
      <c r="BI36" s="5"/>
      <c r="BJ36" s="5"/>
      <c r="BK36" t="s">
        <v>220</v>
      </c>
    </row>
    <row r="37" spans="1:63" x14ac:dyDescent="0.25">
      <c r="A37" s="3" t="s">
        <v>221</v>
      </c>
      <c r="B37" s="3" t="s">
        <v>222</v>
      </c>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t="s">
        <v>99</v>
      </c>
      <c r="AU37" s="3"/>
      <c r="AV37" s="3"/>
      <c r="AW37" s="3"/>
      <c r="AX37" s="3"/>
      <c r="AY37" s="3"/>
      <c r="AZ37" s="8">
        <f>0.2*SUM(Summary!D14:D16)</f>
        <v>2.48585334430661E-2</v>
      </c>
      <c r="BA37">
        <f t="shared" si="0"/>
        <v>24.858533443066101</v>
      </c>
      <c r="BB37">
        <f>AZ37/Summary!D$22*100</f>
        <v>0.37262838150586614</v>
      </c>
      <c r="BC37" s="5" t="s">
        <v>223</v>
      </c>
      <c r="BD37" s="5">
        <v>20</v>
      </c>
      <c r="BE37" s="5"/>
      <c r="BF37" s="5"/>
      <c r="BG37" s="5"/>
      <c r="BH37" s="5"/>
      <c r="BI37" s="5"/>
      <c r="BJ37" s="5"/>
      <c r="BK37" t="s">
        <v>224</v>
      </c>
    </row>
    <row r="38" spans="1:63" x14ac:dyDescent="0.25">
      <c r="B38" s="3"/>
      <c r="C38" s="3"/>
      <c r="D38" s="3"/>
      <c r="E38" s="3"/>
      <c r="F38" s="3"/>
      <c r="G38" s="3"/>
      <c r="H38" s="3"/>
      <c r="I38" s="3"/>
      <c r="K38" s="3"/>
      <c r="L38" s="3"/>
      <c r="BC38" s="5"/>
      <c r="BD38" s="5"/>
      <c r="BE38" s="5"/>
      <c r="BF38" s="5"/>
      <c r="BG38" s="5"/>
      <c r="BH38" s="5"/>
      <c r="BI38" s="5"/>
      <c r="BJ38" s="5"/>
    </row>
    <row r="39" spans="1:63" x14ac:dyDescent="0.25">
      <c r="B39" s="3"/>
      <c r="C39" s="3"/>
      <c r="D39" s="3"/>
      <c r="E39" s="3"/>
      <c r="F39" s="3"/>
      <c r="G39" s="3"/>
      <c r="H39" s="3"/>
      <c r="I39" s="3"/>
      <c r="K39" s="3"/>
      <c r="L39" s="3"/>
      <c r="BC39" s="5"/>
      <c r="BD39" s="5"/>
      <c r="BE39" s="5"/>
      <c r="BF39" s="5"/>
      <c r="BG39" s="5"/>
      <c r="BH39" s="5"/>
      <c r="BI39" s="5"/>
      <c r="BJ39" s="5"/>
    </row>
    <row r="40" spans="1:63" ht="33" customHeight="1" x14ac:dyDescent="0.25">
      <c r="J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5"/>
      <c r="BD40" s="5"/>
      <c r="BE40" s="5"/>
      <c r="BF40" s="5"/>
      <c r="BG40" s="5"/>
      <c r="BH40" s="5"/>
      <c r="BI40" s="5"/>
      <c r="BJ40" s="5"/>
    </row>
    <row r="41" spans="1:63" ht="33" customHeight="1" x14ac:dyDescent="0.25">
      <c r="J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spans="1:63" x14ac:dyDescent="0.25">
      <c r="BC42" s="5"/>
      <c r="BD42" s="5"/>
      <c r="BE42" s="5"/>
      <c r="BF42" s="5"/>
      <c r="BG42" s="5"/>
      <c r="BH42" s="5"/>
      <c r="BI42" s="5"/>
      <c r="BJ42" s="5"/>
    </row>
    <row r="44" spans="1:63" x14ac:dyDescent="0.25">
      <c r="BK44" s="2" t="s">
        <v>225</v>
      </c>
    </row>
    <row r="45" spans="1:63" x14ac:dyDescent="0.25">
      <c r="BK45" s="2" t="s">
        <v>226</v>
      </c>
    </row>
    <row r="46" spans="1:63" x14ac:dyDescent="0.25">
      <c r="BK46" s="2" t="s">
        <v>227</v>
      </c>
    </row>
    <row r="47" spans="1:63" x14ac:dyDescent="0.25">
      <c r="BK47" s="2" t="s">
        <v>228</v>
      </c>
    </row>
    <row r="56" spans="59:59" ht="18.75" x14ac:dyDescent="0.25">
      <c r="BG56" s="6"/>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0"/>
  <sheetViews>
    <sheetView zoomScale="93" zoomScaleNormal="130" workbookViewId="0">
      <selection activeCell="C10" sqref="C10"/>
    </sheetView>
  </sheetViews>
  <sheetFormatPr defaultColWidth="11.42578125" defaultRowHeight="15" x14ac:dyDescent="0.25"/>
  <cols>
    <col min="1" max="1" width="37" bestFit="1" customWidth="1"/>
    <col min="2" max="2" width="75.28515625" customWidth="1"/>
    <col min="3" max="3" width="160.140625" bestFit="1" customWidth="1"/>
  </cols>
  <sheetData>
    <row r="1" spans="1:3" x14ac:dyDescent="0.25">
      <c r="A1" t="s">
        <v>0</v>
      </c>
      <c r="B1" t="s">
        <v>229</v>
      </c>
      <c r="C1" t="s">
        <v>230</v>
      </c>
    </row>
    <row r="2" spans="1:3" x14ac:dyDescent="0.25">
      <c r="A2" t="s">
        <v>231</v>
      </c>
      <c r="B2" t="s">
        <v>232</v>
      </c>
      <c r="C2" t="s">
        <v>233</v>
      </c>
    </row>
    <row r="3" spans="1:3" x14ac:dyDescent="0.25">
      <c r="C3" t="s">
        <v>234</v>
      </c>
    </row>
    <row r="4" spans="1:3" x14ac:dyDescent="0.25">
      <c r="C4" t="s">
        <v>235</v>
      </c>
    </row>
    <row r="5" spans="1:3" x14ac:dyDescent="0.25">
      <c r="B5" t="s">
        <v>236</v>
      </c>
      <c r="C5" t="s">
        <v>237</v>
      </c>
    </row>
    <row r="6" spans="1:3" ht="45" x14ac:dyDescent="0.25">
      <c r="C6" s="3" t="s">
        <v>238</v>
      </c>
    </row>
    <row r="7" spans="1:3" ht="30" x14ac:dyDescent="0.25">
      <c r="C7" s="3" t="s">
        <v>239</v>
      </c>
    </row>
    <row r="8" spans="1:3" x14ac:dyDescent="0.25">
      <c r="C8" t="s">
        <v>240</v>
      </c>
    </row>
    <row r="9" spans="1:3" ht="30" x14ac:dyDescent="0.25">
      <c r="C9" s="3" t="s">
        <v>241</v>
      </c>
    </row>
    <row r="10" spans="1:3" ht="30" x14ac:dyDescent="0.25">
      <c r="B10" t="s">
        <v>242</v>
      </c>
      <c r="C10" s="3" t="s">
        <v>243</v>
      </c>
    </row>
    <row r="11" spans="1:3" x14ac:dyDescent="0.25">
      <c r="C11" t="s">
        <v>244</v>
      </c>
    </row>
    <row r="12" spans="1:3" ht="30" x14ac:dyDescent="0.25">
      <c r="C12" s="3" t="s">
        <v>245</v>
      </c>
    </row>
    <row r="13" spans="1:3" x14ac:dyDescent="0.25">
      <c r="C13" t="s">
        <v>246</v>
      </c>
    </row>
    <row r="14" spans="1:3" x14ac:dyDescent="0.25">
      <c r="C14" t="s">
        <v>247</v>
      </c>
    </row>
    <row r="15" spans="1:3" ht="30" x14ac:dyDescent="0.25">
      <c r="A15" t="s">
        <v>248</v>
      </c>
      <c r="B15" s="3" t="s">
        <v>249</v>
      </c>
      <c r="C15" t="s">
        <v>250</v>
      </c>
    </row>
    <row r="16" spans="1:3" x14ac:dyDescent="0.25">
      <c r="B16" s="3"/>
      <c r="C16" t="s">
        <v>251</v>
      </c>
    </row>
    <row r="17" spans="1:3" x14ac:dyDescent="0.25">
      <c r="B17" s="3"/>
      <c r="C17" t="s">
        <v>252</v>
      </c>
    </row>
    <row r="18" spans="1:3" x14ac:dyDescent="0.25">
      <c r="B18" s="3"/>
      <c r="C18" t="s">
        <v>253</v>
      </c>
    </row>
    <row r="19" spans="1:3" x14ac:dyDescent="0.25">
      <c r="B19" s="3"/>
      <c r="C19" t="s">
        <v>254</v>
      </c>
    </row>
    <row r="20" spans="1:3" ht="30" x14ac:dyDescent="0.25">
      <c r="B20" s="3" t="s">
        <v>255</v>
      </c>
      <c r="C20" s="3" t="s">
        <v>256</v>
      </c>
    </row>
    <row r="21" spans="1:3" x14ac:dyDescent="0.25">
      <c r="B21" s="3"/>
      <c r="C21" t="s">
        <v>257</v>
      </c>
    </row>
    <row r="22" spans="1:3" ht="30" x14ac:dyDescent="0.25">
      <c r="B22" s="3"/>
      <c r="C22" s="3" t="s">
        <v>258</v>
      </c>
    </row>
    <row r="23" spans="1:3" x14ac:dyDescent="0.25">
      <c r="B23" s="3"/>
      <c r="C23" t="s">
        <v>259</v>
      </c>
    </row>
    <row r="24" spans="1:3" x14ac:dyDescent="0.25">
      <c r="B24" t="s">
        <v>260</v>
      </c>
      <c r="C24" t="s">
        <v>261</v>
      </c>
    </row>
    <row r="25" spans="1:3" ht="30" x14ac:dyDescent="0.25">
      <c r="C25" s="3" t="s">
        <v>262</v>
      </c>
    </row>
    <row r="26" spans="1:3" x14ac:dyDescent="0.25">
      <c r="A26" t="s">
        <v>263</v>
      </c>
      <c r="B26" s="3" t="s">
        <v>264</v>
      </c>
      <c r="C26" t="s">
        <v>265</v>
      </c>
    </row>
    <row r="27" spans="1:3" x14ac:dyDescent="0.25">
      <c r="B27" s="3"/>
      <c r="C27" t="s">
        <v>266</v>
      </c>
    </row>
    <row r="28" spans="1:3" x14ac:dyDescent="0.25">
      <c r="B28" s="3"/>
      <c r="C28" t="s">
        <v>267</v>
      </c>
    </row>
    <row r="29" spans="1:3" x14ac:dyDescent="0.25">
      <c r="B29" s="3"/>
      <c r="C29" t="s">
        <v>268</v>
      </c>
    </row>
    <row r="30" spans="1:3" x14ac:dyDescent="0.25">
      <c r="B30" s="3"/>
      <c r="C30" t="s">
        <v>269</v>
      </c>
    </row>
    <row r="31" spans="1:3" x14ac:dyDescent="0.25">
      <c r="B31" s="3"/>
      <c r="C31" t="s">
        <v>270</v>
      </c>
    </row>
    <row r="32" spans="1:3" x14ac:dyDescent="0.25">
      <c r="B32" t="s">
        <v>271</v>
      </c>
      <c r="C32" t="s">
        <v>272</v>
      </c>
    </row>
    <row r="33" spans="1:3" x14ac:dyDescent="0.25">
      <c r="C33" t="s">
        <v>273</v>
      </c>
    </row>
    <row r="34" spans="1:3" x14ac:dyDescent="0.25">
      <c r="C34" t="s">
        <v>274</v>
      </c>
    </row>
    <row r="35" spans="1:3" x14ac:dyDescent="0.25">
      <c r="B35" t="s">
        <v>275</v>
      </c>
      <c r="C35" t="s">
        <v>276</v>
      </c>
    </row>
    <row r="36" spans="1:3" ht="30" x14ac:dyDescent="0.25">
      <c r="C36" s="3" t="s">
        <v>277</v>
      </c>
    </row>
    <row r="37" spans="1:3" ht="30" x14ac:dyDescent="0.25">
      <c r="C37" s="3" t="s">
        <v>278</v>
      </c>
    </row>
    <row r="38" spans="1:3" ht="60" x14ac:dyDescent="0.25">
      <c r="C38" s="3" t="s">
        <v>279</v>
      </c>
    </row>
    <row r="39" spans="1:3" x14ac:dyDescent="0.25">
      <c r="A39" t="s">
        <v>280</v>
      </c>
      <c r="B39" t="s">
        <v>281</v>
      </c>
      <c r="C39" t="s">
        <v>282</v>
      </c>
    </row>
    <row r="40" spans="1:3" ht="30" x14ac:dyDescent="0.25">
      <c r="B40" t="s">
        <v>283</v>
      </c>
      <c r="C40" s="3" t="s">
        <v>284</v>
      </c>
    </row>
    <row r="41" spans="1:3" ht="45" x14ac:dyDescent="0.25">
      <c r="B41" s="3" t="s">
        <v>285</v>
      </c>
      <c r="C41" s="3" t="s">
        <v>286</v>
      </c>
    </row>
    <row r="42" spans="1:3" x14ac:dyDescent="0.25">
      <c r="A42" t="s">
        <v>287</v>
      </c>
      <c r="B42" t="s">
        <v>288</v>
      </c>
      <c r="C42" s="3" t="s">
        <v>289</v>
      </c>
    </row>
    <row r="43" spans="1:3" x14ac:dyDescent="0.25">
      <c r="C43" s="3" t="s">
        <v>290</v>
      </c>
    </row>
    <row r="44" spans="1:3" x14ac:dyDescent="0.25">
      <c r="B44" t="s">
        <v>291</v>
      </c>
      <c r="C44" s="3" t="s">
        <v>292</v>
      </c>
    </row>
    <row r="45" spans="1:3" ht="30" x14ac:dyDescent="0.25">
      <c r="B45" t="s">
        <v>293</v>
      </c>
      <c r="C45" s="3" t="s">
        <v>294</v>
      </c>
    </row>
    <row r="46" spans="1:3" x14ac:dyDescent="0.25">
      <c r="A46" t="s">
        <v>295</v>
      </c>
      <c r="B46" t="s">
        <v>296</v>
      </c>
      <c r="C46" t="s">
        <v>297</v>
      </c>
    </row>
    <row r="47" spans="1:3" x14ac:dyDescent="0.25">
      <c r="C47" t="s">
        <v>298</v>
      </c>
    </row>
    <row r="48" spans="1:3" ht="30" x14ac:dyDescent="0.25">
      <c r="C48" s="3" t="s">
        <v>299</v>
      </c>
    </row>
    <row r="49" spans="2:3" ht="30" x14ac:dyDescent="0.25">
      <c r="B49" t="s">
        <v>300</v>
      </c>
      <c r="C49" s="3" t="s">
        <v>301</v>
      </c>
    </row>
    <row r="50" spans="2:3" x14ac:dyDescent="0.25">
      <c r="C50" t="s">
        <v>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Recalculation</vt:lpstr>
      <vt:lpstr>Calculation</vt:lpstr>
      <vt:lpstr>Policy Description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Peiyao Zhao</dc:creator>
  <cp:keywords/>
  <dc:description/>
  <cp:lastModifiedBy>Peiyao Zhao</cp:lastModifiedBy>
  <cp:revision/>
  <dcterms:created xsi:type="dcterms:W3CDTF">2023-12-13T17:17:39Z</dcterms:created>
  <dcterms:modified xsi:type="dcterms:W3CDTF">2024-09-27T14:28:56Z</dcterms:modified>
  <cp:category/>
  <cp:contentStatus/>
</cp:coreProperties>
</file>